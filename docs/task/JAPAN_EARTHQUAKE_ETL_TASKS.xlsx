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1a9f72ff8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ee9d434983e4447c"/>
    <x:sheet xmlns:r="http://schemas.openxmlformats.org/officeDocument/2006/relationships" name="Backlog" sheetId="2" r:id="Ra9afda951a6240c6"/>
    <x:sheet xmlns:r="http://schemas.openxmlformats.org/officeDocument/2006/relationships" name="Hướng dẫn" sheetId="3" r:id="Rc6e49c123a2a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.0%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</x:fills>
  <x:borders count="14">
    <x:border/>
    <x:border>
      <x:bottom style="thin">
        <x:color rgb="FFB4C6E7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</x:border>
    <x:border>
      <x:left style="thin">
        <x:color rgb="FFB4C6E7"/>
      </x:left>
      <x:top style="thin">
        <x:color rgb="FFB4C6E7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200" fontId="4" fillId="2" borderId="2" xfId="0" applyNumberFormat="1" applyFont="1" applyFill="1" applyBorder="1"/>
    <x:xf numFmtId="201" fontId="4" fillId="2" borderId="3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0" fontId="7" fillId="5" borderId="5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 vertical="center"/>
    </x:xf>
    <x:xf numFmtId="202" fontId="7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5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1" fontId="4" fillId="0" borderId="13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4" fillId="0" borderId="7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DEBF7"/>
        </x:patternFill>
      </x:fill>
    </x:dxf>
    <x:dxf>
      <x:font>
        <x:b/>
        <x:color rgb="FF60497A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60497A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bf187fbcc4cc4" /><Relationship Type="http://schemas.openxmlformats.org/officeDocument/2006/relationships/theme" Target="/xl/theme/theme1.xml" Id="R3034a0f07dd147ee" /><Relationship Type="http://schemas.openxmlformats.org/officeDocument/2006/relationships/sharedStrings" Target="/xl/sharedStrings.xml" Id="Rd9eabac739ab4e05" /><Relationship Type="http://schemas.openxmlformats.org/officeDocument/2006/relationships/worksheet" Target="/xl/worksheets/sheet1.xml" Id="Ree9d434983e4447c" /><Relationship Type="http://schemas.openxmlformats.org/officeDocument/2006/relationships/worksheet" Target="/xl/worksheets/sheet2.xml" Id="Ra9afda951a6240c6" /><Relationship Type="http://schemas.openxmlformats.org/officeDocument/2006/relationships/worksheet" Target="/xl/worksheets/sheet3.xml" Id="Rc6e49c123a2a41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bf6dd0632d44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Effort đã pick và mục tiêu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Effort đã pick</c:v>
          </c:tx>
          <c:cat>
            <c:strRef>
              <c:f>'Tổng quan'!$A$16:$A$18</c:f>
              <c:strCache>
                <c:ptCount val="0"/>
              </c:strCache>
            </c:strRef>
          </c:cat>
          <c:val>
            <c:numRef>
              <c:f>'Tổng quan'!$C$16:$C$18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Mục tiêu</c:v>
          </c:tx>
          <c:cat>
            <c:strRef>
              <c:f>'Tổng quan'!$A$16:$A$18</c:f>
              <c:strCache>
                <c:ptCount val="0"/>
              </c:strCache>
            </c:strRef>
          </c:cat>
          <c:val>
            <c:numRef>
              <c:f>'Tổng quan'!$D$16:$D$18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14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bf6dd0632d44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BacklogTable" displayName="TaskBacklogTable" ref="A6:R62" headerRowCount="1" totalsRowCount="0" totalsRowShown="0">
  <x:autoFilter ref="A6:R62"/>
  <x:tableColumns count="18">
    <x:tableColumn id="1" name="Task ID"/>
    <x:tableColumn id="2" name="Tuần"/>
    <x:tableColumn id="3" name="Giai đoạn"/>
    <x:tableColumn id="4" name="Workstream"/>
    <x:tableColumn id="5" name="Scope"/>
    <x:tableColumn id="6" name="Priority"/>
    <x:tableColumn id="7" name="Task"/>
    <x:tableColumn id="8" name="Mô tả"/>
    <x:tableColumn id="9" name="Deliverable"/>
    <x:tableColumn id="10" name="Tiêu chí hoàn thành"/>
    <x:tableColumn id="11" name="Dependency"/>
    <x:tableColumn id="12" name="Effort (h)"/>
    <x:tableColumn id="13" name="Kỹ năng"/>
    <x:tableColumn id="14" name="Assignee"/>
    <x:tableColumn id="15" name="Reviewer"/>
    <x:tableColumn id="16" name="Status"/>
    <x:tableColumn id="17" name="Evidence / PR"/>
    <x:tableColumn id="18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c6afbf0a5748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9c934360294ab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8" hidden="0" customWidth="1"/>
    <x:col min="5" max="5" width="15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3" hidden="0" customWidth="1"/>
  </x:cols>
  <x:sheetData>
    <x:row r="1">
      <x:c r="A1" s="65"/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</x:row>
    <x:row r="2">
      <x:c r="A2" s="1" t="str">
        <x:v>Japan Earthquake ETL - Kế hoạch task 6 tuần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</x:row>
    <x:row r="3">
      <x:c r="A3" s="3" t="str">
        <x:v>Điền tên thành viên và ngày bắt đầu, sau đó pick Assignee/Reviewer trong sheet Backlog.</x:v>
      </x:c>
      <x:c r="B3" s="3"/>
      <x:c r="C3" s="3"/>
      <x:c r="D3" s="3"/>
      <x:c r="E3" s="3"/>
      <x:c r="F3" s="3"/>
      <x:c r="G3" s="3"/>
      <x:c r="H3" s="3"/>
      <x:c r="I3" s="3"/>
      <x:c r="J3" s="65"/>
      <x:c r="K3" s="65"/>
      <x:c r="L3" s="65"/>
      <x:c r="M3" s="65"/>
      <x:c r="N3" s="65"/>
      <x:c r="O3" s="65"/>
      <x:c r="P3" s="65"/>
      <x:c r="Q3" s="65"/>
      <x:c r="R3" s="65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</x:row>
    <x:row r="5">
      <x:c r="A5" s="4" t="str">
        <x:v>Ngày bắt đầu</x:v>
      </x:c>
      <x:c r="B5" s="10"/>
      <x:c r="C5" s="65"/>
      <x:c r="D5" s="4" t="str">
        <x:v>Core effort</x:v>
      </x:c>
      <x:c r="E5" s="66" t="n">
        <x:f>SUMIFS(Backlog!$L$7:$L$62,Backlog!$E$7:$E$62,"Core")</x:f>
        <x:v>258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</x:row>
    <x:row r="6">
      <x:c r="A6" s="4" t="str">
        <x:v>Giờ/người/tuần</x:v>
      </x:c>
      <x:c r="B6" s="11" t="n">
        <x:v>15</x:v>
      </x:c>
      <x:c r="C6" s="65"/>
      <x:c r="D6" s="4" t="str">
        <x:v>Stretch effort</x:v>
      </x:c>
      <x:c r="E6" s="66" t="n">
        <x:f>SUMIFS(Backlog!$L$7:$L$62,Backlog!$E$7:$E$62,"Stretch")</x:f>
        <x:v>12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</x:row>
    <x:row r="7">
      <x:c r="A7" s="4" t="str">
        <x:v>Thành viên 1</x:v>
      </x:c>
      <x:c r="B7" s="8" t="str">
        <x:v>Thành viên 1</x:v>
      </x:c>
      <x:c r="C7" s="65"/>
      <x:c r="D7" s="4" t="str">
        <x:v>Capacity cả nhóm</x:v>
      </x:c>
      <x:c r="E7" s="66" t="n">
        <x:f>$B$6*3*6</x:f>
        <x:v>270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</x:row>
    <x:row r="8">
      <x:c r="A8" s="4" t="str">
        <x:v>Thành viên 2</x:v>
      </x:c>
      <x:c r="B8" s="8" t="str">
        <x:v>Thành viên 2</x:v>
      </x:c>
      <x:c r="C8" s="65"/>
      <x:c r="D8" s="4" t="str">
        <x:v>Mục tiêu mỗi người</x:v>
      </x:c>
      <x:c r="E8" s="66" t="n">
        <x:f>$B$6*6</x:f>
        <x:v>90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</x:row>
    <x:row r="9">
      <x:c r="A9" s="4" t="str">
        <x:v>Thành viên 3</x:v>
      </x:c>
      <x:c r="B9" s="9" t="str">
        <x:v>Thành viên 3</x:v>
      </x:c>
      <x:c r="C9" s="65"/>
      <x:c r="D9" s="4" t="str">
        <x:v>Nguyên tắc cân bằng</x:v>
      </x:c>
      <x:c r="E9" s="15" t="str">
        <x:v>Tổng giờ mỗi người nên lệch mục tiêu không quá 10 giờ.</x:v>
      </x:c>
      <x:c r="F9" s="15"/>
      <x:c r="G9" s="15"/>
      <x:c r="H9" s="15"/>
      <x:c r="I9" s="15"/>
      <x:c r="J9" s="65"/>
      <x:c r="K9" s="65"/>
      <x:c r="L9" s="65"/>
      <x:c r="M9" s="65"/>
      <x:c r="N9" s="65"/>
      <x:c r="O9" s="65"/>
      <x:c r="P9" s="65"/>
      <x:c r="Q9" s="65"/>
      <x:c r="R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</x:row>
    <x:row r="11">
      <x:c r="A11" s="19" t="str">
        <x:v>Tổng task</x:v>
      </x:c>
      <x:c r="B11" s="65" t="str"/>
      <x:c r="C11" s="19" t="str">
        <x:v>Tổng effort</x:v>
      </x:c>
      <x:c r="D11" s="65" t="str"/>
      <x:c r="E11" s="19" t="str">
        <x:v>Chưa pick</x:v>
      </x:c>
      <x:c r="F11" s="65" t="str"/>
      <x:c r="G11" s="19" t="str">
        <x:v>Task Done</x:v>
      </x:c>
      <x:c r="H11" s="65" t="str"/>
      <x:c r="I11" s="19" t="str">
        <x:v>Tiến độ theo giờ</x:v>
      </x:c>
      <x:c r="J11" s="65"/>
      <x:c r="K11" s="65"/>
      <x:c r="L11" s="65"/>
      <x:c r="M11" s="65"/>
      <x:c r="N11" s="65"/>
      <x:c r="O11" s="65"/>
      <x:c r="P11" s="65"/>
      <x:c r="Q11" s="65"/>
      <x:c r="R11" s="65"/>
    </x:row>
    <x:row r="12">
      <x:c r="A12" s="24" t="n">
        <x:f>COUNTA(Backlog!$A$7:$A$62)</x:f>
        <x:v>56</x:v>
      </x:c>
      <x:c r="B12" s="65" t="str"/>
      <x:c r="C12" s="24" t="n">
        <x:f>SUM(Backlog!$L$7:$L$62)</x:f>
        <x:v>270</x:v>
      </x:c>
      <x:c r="D12" s="65" t="str"/>
      <x:c r="E12" s="24" t="n">
        <x:f>COUNTBLANK(Backlog!$N$7:$N$62)</x:f>
        <x:v>56</x:v>
      </x:c>
      <x:c r="F12" s="65" t="str"/>
      <x:c r="G12" s="24" t="n">
        <x:f>COUNTIFS(Backlog!$P$7:$P$62,"Done")</x:f>
        <x:v>0</x:v>
      </x:c>
      <x:c r="H12" s="65" t="str"/>
      <x:c r="I12" s="25" t="n">
        <x:f>IF(C12=0,0,SUMIFS(Backlog!$L$7:$L$62,Backlog!$P$7:$P$62,"Done")/C12)</x:f>
        <x:v>0</x:v>
      </x:c>
      <x:c r="J12" s="65"/>
      <x:c r="K12" s="65"/>
      <x:c r="L12" s="65"/>
      <x:c r="M12" s="65"/>
      <x:c r="N12" s="65"/>
      <x:c r="O12" s="65"/>
      <x:c r="P12" s="65"/>
      <x:c r="Q12" s="65"/>
      <x:c r="R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</x:row>
    <x:row r="15" ht="24" customHeight="1">
      <x:c r="A15" s="30" t="str">
        <x:v>Thành viên</x:v>
      </x:c>
      <x:c r="B15" s="30" t="str">
        <x:v>Task đã pick</x:v>
      </x:c>
      <x:c r="C15" s="30" t="str">
        <x:v>Effort đã pick</x:v>
      </x:c>
      <x:c r="D15" s="30" t="str">
        <x:v>Mục tiêu</x:v>
      </x:c>
      <x:c r="E15" s="30" t="str">
        <x:v>Lệch mục tiêu</x:v>
      </x:c>
      <x:c r="F15" s="30" t="str">
        <x:v>Task Done</x:v>
      </x:c>
      <x:c r="G15" s="30" t="str">
        <x:v>Giờ Done</x:v>
      </x:c>
      <x:c r="H15" s="30" t="str">
        <x:v>Tiến độ</x:v>
      </x:c>
      <x:c r="I15" s="30" t="str">
        <x:v>Giờ còn lại</x:v>
      </x:c>
      <x:c r="J15" s="65"/>
      <x:c r="K15" s="65"/>
      <x:c r="L15" s="65"/>
      <x:c r="M15" s="65"/>
      <x:c r="N15" s="65"/>
      <x:c r="O15" s="65"/>
      <x:c r="P15" s="65"/>
      <x:c r="Q15" s="65"/>
      <x:c r="R15" s="65"/>
    </x:row>
    <x:row r="16" ht="24" customHeight="1">
      <x:c r="A16" s="41" t="str">
        <x:f>$B$7</x:f>
        <x:v>Thành viên 1</x:v>
      </x:c>
      <x:c r="B16" s="50" t="n">
        <x:f>COUNTIFS(Backlog!$N$7:$N$62,$A16)</x:f>
        <x:v>0</x:v>
      </x:c>
      <x:c r="C16" s="50" t="n">
        <x:f>SUMIFS(Backlog!$L$7:$L$62,Backlog!$N$7:$N$62,$A16)</x:f>
        <x:v>0</x:v>
      </x:c>
      <x:c r="D16" s="50" t="n">
        <x:f>$B$6*6</x:f>
        <x:v>90</x:v>
      </x:c>
      <x:c r="E16" s="50" t="n">
        <x:f>C16-D16</x:f>
        <x:v>-90</x:v>
      </x:c>
      <x:c r="F16" s="50" t="n">
        <x:f>COUNTIFS(Backlog!$N$7:$N$62,$A16,Backlog!$P$7:$P$62,"Done")</x:f>
        <x:v>0</x:v>
      </x:c>
      <x:c r="G16" s="50" t="n">
        <x:f>SUMIFS(Backlog!$L$7:$L$62,Backlog!$N$7:$N$62,$A16,Backlog!$P$7:$P$62,"Done")</x:f>
        <x:v>0</x:v>
      </x:c>
      <x:c r="H16" s="53" t="n">
        <x:f>IF(C16=0,0,G16/C16)</x:f>
        <x:v>0</x:v>
      </x:c>
      <x:c r="I16" s="56" t="n">
        <x:f>C16-G16</x:f>
        <x:v>0</x:v>
      </x:c>
      <x:c r="J16" s="65"/>
      <x:c r="K16" s="65"/>
      <x:c r="L16" s="65"/>
      <x:c r="M16" s="65"/>
      <x:c r="N16" s="65"/>
      <x:c r="O16" s="65"/>
      <x:c r="P16" s="65"/>
      <x:c r="Q16" s="65"/>
      <x:c r="R16" s="65"/>
    </x:row>
    <x:row r="17" ht="24" customHeight="1">
      <x:c r="A17" s="44" t="str">
        <x:f>$B$8</x:f>
        <x:v>Thành viên 2</x:v>
      </x:c>
      <x:c r="B17" s="51" t="n">
        <x:f>COUNTIFS(Backlog!$N$7:$N$62,$A17)</x:f>
        <x:v>0</x:v>
      </x:c>
      <x:c r="C17" s="51" t="n">
        <x:f>SUMIFS(Backlog!$L$7:$L$62,Backlog!$N$7:$N$62,$A17)</x:f>
        <x:v>0</x:v>
      </x:c>
      <x:c r="D17" s="51" t="n">
        <x:f>$B$6*6</x:f>
        <x:v>90</x:v>
      </x:c>
      <x:c r="E17" s="51" t="n">
        <x:f>C17-D17</x:f>
        <x:v>-90</x:v>
      </x:c>
      <x:c r="F17" s="51" t="n">
        <x:f>COUNTIFS(Backlog!$N$7:$N$62,$A17,Backlog!$P$7:$P$62,"Done")</x:f>
        <x:v>0</x:v>
      </x:c>
      <x:c r="G17" s="51" t="n">
        <x:f>SUMIFS(Backlog!$L$7:$L$62,Backlog!$N$7:$N$62,$A17,Backlog!$P$7:$P$62,"Done")</x:f>
        <x:v>0</x:v>
      </x:c>
      <x:c r="H17" s="54" t="n">
        <x:f>IF(C17=0,0,G17/C17)</x:f>
        <x:v>0</x:v>
      </x:c>
      <x:c r="I17" s="57" t="n">
        <x:f>C17-G17</x:f>
        <x:v>0</x:v>
      </x:c>
      <x:c r="J17" s="65"/>
      <x:c r="K17" s="65"/>
      <x:c r="L17" s="65"/>
      <x:c r="M17" s="65"/>
      <x:c r="N17" s="65"/>
      <x:c r="O17" s="65"/>
      <x:c r="P17" s="65"/>
      <x:c r="Q17" s="65"/>
      <x:c r="R17" s="65"/>
    </x:row>
    <x:row r="18" ht="24" customHeight="1">
      <x:c r="A18" s="47" t="str">
        <x:f>$B$9</x:f>
        <x:v>Thành viên 3</x:v>
      </x:c>
      <x:c r="B18" s="52" t="n">
        <x:f>COUNTIFS(Backlog!$N$7:$N$62,$A18)</x:f>
        <x:v>0</x:v>
      </x:c>
      <x:c r="C18" s="52" t="n">
        <x:f>SUMIFS(Backlog!$L$7:$L$62,Backlog!$N$7:$N$62,$A18)</x:f>
        <x:v>0</x:v>
      </x:c>
      <x:c r="D18" s="52" t="n">
        <x:f>$B$6*6</x:f>
        <x:v>90</x:v>
      </x:c>
      <x:c r="E18" s="52" t="n">
        <x:f>C18-D18</x:f>
        <x:v>-90</x:v>
      </x:c>
      <x:c r="F18" s="52" t="n">
        <x:f>COUNTIFS(Backlog!$N$7:$N$62,$A18,Backlog!$P$7:$P$62,"Done")</x:f>
        <x:v>0</x:v>
      </x:c>
      <x:c r="G18" s="52" t="n">
        <x:f>SUMIFS(Backlog!$L$7:$L$62,Backlog!$N$7:$N$62,$A18,Backlog!$P$7:$P$62,"Done")</x:f>
        <x:v>0</x:v>
      </x:c>
      <x:c r="H18" s="55" t="n">
        <x:f>IF(C18=0,0,G18/C18)</x:f>
        <x:v>0</x:v>
      </x:c>
      <x:c r="I18" s="58" t="n">
        <x:f>C18-G18</x:f>
        <x:v>0</x:v>
      </x:c>
      <x:c r="J18" s="65"/>
      <x:c r="K18" s="65"/>
      <x:c r="L18" s="65"/>
      <x:c r="M18" s="65"/>
      <x:c r="N18" s="65"/>
      <x:c r="O18" s="65"/>
      <x:c r="P18" s="65"/>
      <x:c r="Q18" s="65"/>
      <x:c r="R18" s="65"/>
    </x:row>
    <x:row r="19" ht="24" customHeight="1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</x:row>
    <x:row r="20" ht="24" customHeight="1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</x:row>
    <x:row r="21" ht="24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</x:row>
    <x:row r="22" ht="32" customHeight="1">
      <x:c r="A22" s="30" t="str">
        <x:v>Tuần</x:v>
      </x:c>
      <x:c r="B22" s="30" t="str">
        <x:v>Mục tiêu</x:v>
      </x:c>
      <x:c r="C22" s="30" t="str">
        <x:v>Tổng effort</x:v>
      </x:c>
      <x:c r="D22" s="30" t="str">
        <x:v>Chưa pick</x:v>
      </x:c>
      <x:c r="E22" s="30" t="str">
        <x:f>$B$7</x:f>
        <x:v>Thành viên 1</x:v>
      </x:c>
      <x:c r="F22" s="30" t="str">
        <x:f>$B$8</x:f>
        <x:v>Thành viên 2</x:v>
      </x:c>
      <x:c r="G22" s="30" t="str">
        <x:f>$B$9</x:f>
        <x:v>Thành viên 3</x:v>
      </x:c>
      <x:c r="H22" s="30" t="str">
        <x:v>Bắt đầu</x:v>
      </x:c>
      <x:c r="I22" s="30" t="str">
        <x:v>Kết thúc</x:v>
      </x:c>
      <x:c r="J22" s="65"/>
      <x:c r="K22" s="65"/>
      <x:c r="L22" s="65"/>
      <x:c r="M22" s="65"/>
      <x:c r="N22" s="65"/>
      <x:c r="O22" s="65"/>
      <x:c r="P22" s="65"/>
      <x:c r="Q22" s="65"/>
      <x:c r="R22" s="65"/>
    </x:row>
    <x:row r="23" ht="34" customHeight="1">
      <x:c r="A23" s="41" t="n">
        <x:v>1</x:v>
      </x:c>
      <x:c r="B23" s="67" t="str">
        <x:v>Foundation và môi trường local</x:v>
      </x:c>
      <x:c r="C23" s="50" t="n">
        <x:f>SUMIFS(Backlog!$L$7:$L$62,Backlog!$B$7:$B$62,$A23)</x:f>
        <x:v>45</x:v>
      </x:c>
      <x:c r="D23" s="50" t="n">
        <x:f>C23-SUM(E23:G23)</x:f>
        <x:v>45</x:v>
      </x:c>
      <x:c r="E23" s="50" t="n">
        <x:f>SUMIFS(Backlog!$L$7:$L$62,Backlog!$B$7:$B$62,$A23,Backlog!$N$7:$N$62,E$22)</x:f>
        <x:v>0</x:v>
      </x:c>
      <x:c r="F23" s="50" t="n">
        <x:f>SUMIFS(Backlog!$L$7:$L$62,Backlog!$B$7:$B$62,$A23,Backlog!$N$7:$N$62,F$22)</x:f>
        <x:v>0</x:v>
      </x:c>
      <x:c r="G23" s="50" t="n">
        <x:f>SUMIFS(Backlog!$L$7:$L$62,Backlog!$B$7:$B$62,$A23,Backlog!$N$7:$N$62,G$22)</x:f>
        <x:v>0</x:v>
      </x:c>
      <x:c r="H23" s="59" t="str">
        <x:f>IF($B$5="","",$B$5+($A23-1)*7)</x:f>
      </x:c>
      <x:c r="I23" s="60" t="str">
        <x:f>IF(H23="","",H23+6)</x:f>
      </x:c>
      <x:c r="J23" s="65"/>
      <x:c r="K23" s="65"/>
      <x:c r="L23" s="65"/>
      <x:c r="M23" s="65"/>
      <x:c r="N23" s="65"/>
      <x:c r="O23" s="65"/>
      <x:c r="P23" s="65"/>
      <x:c r="Q23" s="65"/>
      <x:c r="R23" s="65"/>
    </x:row>
    <x:row r="24" ht="34" customHeight="1">
      <x:c r="A24" s="44" t="n">
        <x:v>2</x:v>
      </x:c>
      <x:c r="B24" s="68" t="str">
        <x:v>Extract USGS và Bronze</x:v>
      </x:c>
      <x:c r="C24" s="51" t="n">
        <x:f>SUMIFS(Backlog!$L$7:$L$62,Backlog!$B$7:$B$62,$A24)</x:f>
        <x:v>45</x:v>
      </x:c>
      <x:c r="D24" s="51" t="n">
        <x:f>C24-SUM(E24:G24)</x:f>
        <x:v>45</x:v>
      </x:c>
      <x:c r="E24" s="51" t="n">
        <x:f>SUMIFS(Backlog!$L$7:$L$62,Backlog!$B$7:$B$62,$A24,Backlog!$N$7:$N$62,E$22)</x:f>
        <x:v>0</x:v>
      </x:c>
      <x:c r="F24" s="51" t="n">
        <x:f>SUMIFS(Backlog!$L$7:$L$62,Backlog!$B$7:$B$62,$A24,Backlog!$N$7:$N$62,F$22)</x:f>
        <x:v>0</x:v>
      </x:c>
      <x:c r="G24" s="51" t="n">
        <x:f>SUMIFS(Backlog!$L$7:$L$62,Backlog!$B$7:$B$62,$A24,Backlog!$N$7:$N$62,G$22)</x:f>
        <x:v>0</x:v>
      </x:c>
      <x:c r="H24" s="61" t="str">
        <x:f>IF($B$5="","",$B$5+($A24-1)*7)</x:f>
      </x:c>
      <x:c r="I24" s="62" t="str">
        <x:f>IF(H24="","",H24+6)</x:f>
      </x:c>
      <x:c r="J24" s="65"/>
      <x:c r="K24" s="65"/>
      <x:c r="L24" s="65"/>
      <x:c r="M24" s="65"/>
      <x:c r="N24" s="65"/>
      <x:c r="O24" s="65"/>
      <x:c r="P24" s="65"/>
      <x:c r="Q24" s="65"/>
      <x:c r="R24" s="65"/>
    </x:row>
    <x:row r="25" ht="34" customHeight="1">
      <x:c r="A25" s="44" t="n">
        <x:v>3</x:v>
      </x:c>
      <x:c r="B25" s="68" t="str">
        <x:v>Silver parse, quality và dedup</x:v>
      </x:c>
      <x:c r="C25" s="51" t="n">
        <x:f>SUMIFS(Backlog!$L$7:$L$62,Backlog!$B$7:$B$62,$A25)</x:f>
        <x:v>45</x:v>
      </x:c>
      <x:c r="D25" s="51" t="n">
        <x:f>C25-SUM(E25:G25)</x:f>
        <x:v>45</x:v>
      </x:c>
      <x:c r="E25" s="51" t="n">
        <x:f>SUMIFS(Backlog!$L$7:$L$62,Backlog!$B$7:$B$62,$A25,Backlog!$N$7:$N$62,E$22)</x:f>
        <x:v>0</x:v>
      </x:c>
      <x:c r="F25" s="51" t="n">
        <x:f>SUMIFS(Backlog!$L$7:$L$62,Backlog!$B$7:$B$62,$A25,Backlog!$N$7:$N$62,F$22)</x:f>
        <x:v>0</x:v>
      </x:c>
      <x:c r="G25" s="51" t="n">
        <x:f>SUMIFS(Backlog!$L$7:$L$62,Backlog!$B$7:$B$62,$A25,Backlog!$N$7:$N$62,G$22)</x:f>
        <x:v>0</x:v>
      </x:c>
      <x:c r="H25" s="61" t="str">
        <x:f>IF($B$5="","",$B$5+($A25-1)*7)</x:f>
      </x:c>
      <x:c r="I25" s="62" t="str">
        <x:f>IF(H25="","",H25+6)</x:f>
      </x:c>
      <x:c r="J25" s="65"/>
      <x:c r="K25" s="65"/>
      <x:c r="L25" s="65"/>
      <x:c r="M25" s="65"/>
      <x:c r="N25" s="65"/>
      <x:c r="O25" s="65"/>
      <x:c r="P25" s="65"/>
      <x:c r="Q25" s="65"/>
      <x:c r="R25" s="65"/>
    </x:row>
    <x:row r="26" ht="34" customHeight="1">
      <x:c r="A26" s="44" t="n">
        <x:v>4</x:v>
      </x:c>
      <x:c r="B26" s="68" t="str">
        <x:v>Gold Iceberg và Trino</x:v>
      </x:c>
      <x:c r="C26" s="51" t="n">
        <x:f>SUMIFS(Backlog!$L$7:$L$62,Backlog!$B$7:$B$62,$A26)</x:f>
        <x:v>45</x:v>
      </x:c>
      <x:c r="D26" s="51" t="n">
        <x:f>C26-SUM(E26:G26)</x:f>
        <x:v>45</x:v>
      </x:c>
      <x:c r="E26" s="51" t="n">
        <x:f>SUMIFS(Backlog!$L$7:$L$62,Backlog!$B$7:$B$62,$A26,Backlog!$N$7:$N$62,E$22)</x:f>
        <x:v>0</x:v>
      </x:c>
      <x:c r="F26" s="51" t="n">
        <x:f>SUMIFS(Backlog!$L$7:$L$62,Backlog!$B$7:$B$62,$A26,Backlog!$N$7:$N$62,F$22)</x:f>
        <x:v>0</x:v>
      </x:c>
      <x:c r="G26" s="51" t="n">
        <x:f>SUMIFS(Backlog!$L$7:$L$62,Backlog!$B$7:$B$62,$A26,Backlog!$N$7:$N$62,G$22)</x:f>
        <x:v>0</x:v>
      </x:c>
      <x:c r="H26" s="61" t="str">
        <x:f>IF($B$5="","",$B$5+($A26-1)*7)</x:f>
      </x:c>
      <x:c r="I26" s="62" t="str">
        <x:f>IF(H26="","",H26+6)</x:f>
      </x:c>
      <x:c r="J26" s="65"/>
      <x:c r="K26" s="65"/>
      <x:c r="L26" s="65"/>
      <x:c r="M26" s="65"/>
      <x:c r="N26" s="65"/>
      <x:c r="O26" s="65"/>
      <x:c r="P26" s="65"/>
      <x:c r="Q26" s="65"/>
      <x:c r="R26" s="65"/>
    </x:row>
    <x:row r="27" ht="34" customHeight="1">
      <x:c r="A27" s="44" t="n">
        <x:v>5</x:v>
      </x:c>
      <x:c r="B27" s="68" t="str">
        <x:v>Orchestration hoàn chỉnh và Power BI</x:v>
      </x:c>
      <x:c r="C27" s="51" t="n">
        <x:f>SUMIFS(Backlog!$L$7:$L$62,Backlog!$B$7:$B$62,$A27)</x:f>
        <x:v>45</x:v>
      </x:c>
      <x:c r="D27" s="51" t="n">
        <x:f>C27-SUM(E27:G27)</x:f>
        <x:v>45</x:v>
      </x:c>
      <x:c r="E27" s="51" t="n">
        <x:f>SUMIFS(Backlog!$L$7:$L$62,Backlog!$B$7:$B$62,$A27,Backlog!$N$7:$N$62,E$22)</x:f>
        <x:v>0</x:v>
      </x:c>
      <x:c r="F27" s="51" t="n">
        <x:f>SUMIFS(Backlog!$L$7:$L$62,Backlog!$B$7:$B$62,$A27,Backlog!$N$7:$N$62,F$22)</x:f>
        <x:v>0</x:v>
      </x:c>
      <x:c r="G27" s="51" t="n">
        <x:f>SUMIFS(Backlog!$L$7:$L$62,Backlog!$B$7:$B$62,$A27,Backlog!$N$7:$N$62,G$22)</x:f>
        <x:v>0</x:v>
      </x:c>
      <x:c r="H27" s="61" t="str">
        <x:f>IF($B$5="","",$B$5+($A27-1)*7)</x:f>
      </x:c>
      <x:c r="I27" s="62" t="str">
        <x:f>IF(H27="","",H27+6)</x:f>
      </x:c>
      <x:c r="J27" s="65"/>
      <x:c r="K27" s="65"/>
      <x:c r="L27" s="65"/>
      <x:c r="M27" s="65"/>
      <x:c r="N27" s="65"/>
      <x:c r="O27" s="65"/>
      <x:c r="P27" s="65"/>
      <x:c r="Q27" s="65"/>
      <x:c r="R27" s="65"/>
    </x:row>
    <x:row r="28" ht="34" customHeight="1">
      <x:c r="A28" s="47" t="n">
        <x:v>6</x:v>
      </x:c>
      <x:c r="B28" s="69" t="str">
        <x:v>QA, vận hành và demo</x:v>
      </x:c>
      <x:c r="C28" s="52" t="n">
        <x:f>SUMIFS(Backlog!$L$7:$L$62,Backlog!$B$7:$B$62,$A28)</x:f>
        <x:v>45</x:v>
      </x:c>
      <x:c r="D28" s="52" t="n">
        <x:f>C28-SUM(E28:G28)</x:f>
        <x:v>45</x:v>
      </x:c>
      <x:c r="E28" s="52" t="n">
        <x:f>SUMIFS(Backlog!$L$7:$L$62,Backlog!$B$7:$B$62,$A28,Backlog!$N$7:$N$62,E$22)</x:f>
        <x:v>0</x:v>
      </x:c>
      <x:c r="F28" s="52" t="n">
        <x:f>SUMIFS(Backlog!$L$7:$L$62,Backlog!$B$7:$B$62,$A28,Backlog!$N$7:$N$62,F$22)</x:f>
        <x:v>0</x:v>
      </x:c>
      <x:c r="G28" s="52" t="n">
        <x:f>SUMIFS(Backlog!$L$7:$L$62,Backlog!$B$7:$B$62,$A28,Backlog!$N$7:$N$62,G$22)</x:f>
        <x:v>0</x:v>
      </x:c>
      <x:c r="H28" s="63" t="str">
        <x:f>IF($B$5="","",$B$5+($A28-1)*7)</x:f>
      </x:c>
      <x:c r="I28" s="64" t="str">
        <x:f>IF(H28="","",H28+6)</x:f>
      </x:c>
      <x:c r="J28" s="65"/>
      <x:c r="K28" s="65"/>
      <x:c r="L28" s="65"/>
      <x:c r="M28" s="65"/>
      <x:c r="N28" s="65"/>
      <x:c r="O28" s="65"/>
      <x:c r="P28" s="65"/>
      <x:c r="Q28" s="65"/>
      <x:c r="R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</x:row>
  </x:sheetData>
  <x:mergeCells>
    <x:mergeCell ref="E9:I9"/>
  </x:mergeCells>
  <x:conditionalFormatting sqref="E16:E18">
    <x:cfRule type="cellIs" dxfId="0" priority="1" operator="greaterThan">
      <x:formula>10</x:formula>
    </x:cfRule>
    <x:cfRule type="cellIs" dxfId="1" priority="2" operator="lessThan">
      <x:formula>-10</x:formula>
    </x:cfRule>
  </x:conditionalFormatting>
  <x:conditionalFormatting sqref="D23:D28">
    <x:cfRule type="cellIs" dxfId="2" priority="3" operator="greaterThan">
      <x:formula>0</x:formula>
    </x:cfRule>
  </x:conditionalFormatting>
  <x:dataValidations count="1">
    <x:dataValidation type="whole" operator="between" sqref="B6">
      <x:formula1>1</x:formula1>
      <x:formula2>40</x:formula2>
    </x:dataValidation>
  </x:dataValidations>
  <x:pageMargins left="0.7" right="0.7" top="0.75" bottom="0.75" header="0.3" footer="0.3"/>
  <x:drawing xmlns:r="http://schemas.openxmlformats.org/officeDocument/2006/relationships" r:id="Rc2c6afbf0a5748e0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7" hidden="0" customWidth="1"/>
    <x:col min="3" max="3" width="19" hidden="0" customWidth="1"/>
    <x:col min="4" max="4" width="18" hidden="0" customWidth="1"/>
    <x:col min="5" max="5" width="10" hidden="0" customWidth="1"/>
    <x:col min="6" max="6" width="9" hidden="0" customWidth="1"/>
    <x:col min="7" max="7" width="32" hidden="0" customWidth="1"/>
    <x:col min="8" max="8" width="48" hidden="0" customWidth="1"/>
    <x:col min="9" max="9" width="38" hidden="0" customWidth="1"/>
    <x:col min="10" max="10" width="48" hidden="0" customWidth="1"/>
    <x:col min="11" max="11" width="22" hidden="0" customWidth="1"/>
    <x:col min="12" max="12" width="11" hidden="0" customWidth="1"/>
    <x:col min="13" max="13" width="28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2">
      <x:c r="A2" s="1" t="str">
        <x:v>Backlog triển khai 6 tuần</x:v>
      </x:c>
    </x:row>
    <x:row r="3">
      <x:c r="A3" s="3" t="str">
        <x:v>Ô màu vàng là phần nhóm cập nhật. Pick một Assignee chính và một Reviewer khác người; ưu tiên P0 trước P1/P2.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6" ht="34" customHeight="1">
      <x:c r="A6" s="30" t="str">
        <x:v>Task ID</x:v>
      </x:c>
      <x:c r="B6" s="30" t="str">
        <x:v>Tuần</x:v>
      </x:c>
      <x:c r="C6" s="30" t="str">
        <x:v>Giai đoạn</x:v>
      </x:c>
      <x:c r="D6" s="30" t="str">
        <x:v>Workstream</x:v>
      </x:c>
      <x:c r="E6" s="30" t="str">
        <x:v>Scope</x:v>
      </x:c>
      <x:c r="F6" s="30" t="str">
        <x:v>Priority</x:v>
      </x:c>
      <x:c r="G6" s="30" t="str">
        <x:v>Task</x:v>
      </x:c>
      <x:c r="H6" s="30" t="str">
        <x:v>Mô tả</x:v>
      </x:c>
      <x:c r="I6" s="30" t="str">
        <x:v>Deliverable</x:v>
      </x:c>
      <x:c r="J6" s="30" t="str">
        <x:v>Tiêu chí hoàn thành</x:v>
      </x:c>
      <x:c r="K6" s="30" t="str">
        <x:v>Dependency</x:v>
      </x:c>
      <x:c r="L6" s="30" t="str">
        <x:v>Effort (h)</x:v>
      </x:c>
      <x:c r="M6" s="30" t="str">
        <x:v>Kỹ năng</x:v>
      </x:c>
      <x:c r="N6" s="30" t="str">
        <x:v>Assignee</x:v>
      </x:c>
      <x:c r="O6" s="30" t="str">
        <x:v>Reviewer</x:v>
      </x:c>
      <x:c r="P6" s="30" t="str">
        <x:v>Status</x:v>
      </x:c>
      <x:c r="Q6" s="30" t="str">
        <x:v>Evidence / PR</x:v>
      </x:c>
      <x:c r="R6" s="30" t="str">
        <x:v>Ghi chú</x:v>
      </x:c>
    </x:row>
    <x:row r="7" ht="54" customHeight="1">
      <x:c r="A7" s="71" t="str">
        <x:v>PLN-01</x:v>
      </x:c>
      <x:c r="B7" s="71" t="n">
        <x:v>1</x:v>
      </x:c>
      <x:c r="C7" s="71" t="str">
        <x:v>Foundation</x:v>
      </x:c>
      <x:c r="D7" s="71" t="str">
        <x:v>Planning</x:v>
      </x:c>
      <x:c r="E7" s="71" t="str">
        <x:v>Core</x:v>
      </x:c>
      <x:c r="F7" s="71" t="str">
        <x:v>P0</x:v>
      </x:c>
      <x:c r="G7" s="72" t="str">
        <x:v>Chốt scope, KPI và Definition of Done</x:v>
      </x:c>
      <x:c r="H7" s="72" t="str">
        <x:v>Rà tài liệu hiện tại, chốt phạm vi MVP, phần Stretch, KPI và tiêu chí bàn giao.</x:v>
      </x:c>
      <x:c r="I7" s="72" t="str">
        <x:v>Biên bản scope và checklist DoD được cập nhật trong docs.</x:v>
      </x:c>
      <x:c r="J7" s="72" t="str">
        <x:v>Ba thành viên thống nhất phạm vi; không còn yêu cầu mơ hồ trên đường găng.</x:v>
      </x:c>
      <x:c r="K7" s="72" t="str">
        <x:v>-</x:v>
      </x:c>
      <x:c r="L7" s="74" t="n">
        <x:v>4</x:v>
      </x:c>
      <x:c r="M7" s="72" t="str">
        <x:v>Phân tích yêu cầu, tài liệu</x:v>
      </x:c>
      <x:c r="N7" s="73" t="str"/>
      <x:c r="O7" s="73" t="str"/>
      <x:c r="P7" s="73" t="str">
        <x:v>Backlog</x:v>
      </x:c>
      <x:c r="Q7" s="73" t="str"/>
      <x:c r="R7" s="73" t="str"/>
    </x:row>
    <x:row r="8" ht="54" customHeight="1">
      <x:c r="A8" s="71" t="str">
        <x:v>REP-01</x:v>
      </x:c>
      <x:c r="B8" s="71" t="n">
        <x:v>1</x:v>
      </x:c>
      <x:c r="C8" s="71" t="str">
        <x:v>Foundation</x:v>
      </x:c>
      <x:c r="D8" s="71" t="str">
        <x:v>Repository</x:v>
      </x:c>
      <x:c r="E8" s="71" t="str">
        <x:v>Core</x:v>
      </x:c>
      <x:c r="F8" s="71" t="str">
        <x:v>P0</x:v>
      </x:c>
      <x:c r="G8" s="72" t="str">
        <x:v>Scaffold cấu trúc repository</x:v>
      </x:c>
      <x:c r="H8" s="72" t="str">
        <x:v>Tạo cấu trúc module cho Airflow, Spark Java, Trino config, Compose, tests và scripts.</x:v>
      </x:c>
      <x:c r="I8" s="72" t="str">
        <x:v>Cấu trúc thư mục ban đầu và README chạy local.</x:v>
      </x:c>
      <x:c r="J8" s="72" t="str">
        <x:v>Repository có cấu trúc rõ; build placeholder và đường dẫn mount không xung đột.</x:v>
      </x:c>
      <x:c r="K8" s="72" t="str">
        <x:v>PLN-01</x:v>
      </x:c>
      <x:c r="L8" s="74" t="n">
        <x:v>4</x:v>
      </x:c>
      <x:c r="M8" s="72" t="str">
        <x:v>Git, Maven, cấu trúc dự án</x:v>
      </x:c>
      <x:c r="N8" s="73" t="str"/>
      <x:c r="O8" s="73" t="str"/>
      <x:c r="P8" s="73" t="str">
        <x:v>Backlog</x:v>
      </x:c>
      <x:c r="Q8" s="73" t="str"/>
      <x:c r="R8" s="73" t="str"/>
    </x:row>
    <x:row r="9" ht="54" customHeight="1">
      <x:c r="A9" s="71" t="str">
        <x:v>CFG-01</x:v>
      </x:c>
      <x:c r="B9" s="71" t="n">
        <x:v>1</x:v>
      </x:c>
      <x:c r="C9" s="71" t="str">
        <x:v>Foundation</x:v>
      </x:c>
      <x:c r="D9" s="71" t="str">
        <x:v>Configuration</x:v>
      </x:c>
      <x:c r="E9" s="71" t="str">
        <x:v>Core</x:v>
      </x:c>
      <x:c r="F9" s="71" t="str">
        <x:v>P0</x:v>
      </x:c>
      <x:c r="G9" s="72" t="str">
        <x:v>Thiết lập cấu hình và secret hygiene</x:v>
      </x:c>
      <x:c r="H9" s="72" t="str">
        <x:v>Tạo .gitignore, .env.example, quy ước biến môi trường và kiểm tra không commit secret.</x:v>
      </x:c>
      <x:c r="I9" s="72" t="str">
        <x:v>.gitignore, .env.example và bảng biến cấu hình.</x:v>
      </x:c>
      <x:c r="J9" s="72" t="str">
        <x:v>Clone mới có thể tạo .env; secret thật không xuất hiện trong Git.</x:v>
      </x:c>
      <x:c r="K9" s="72" t="str">
        <x:v>REP-01</x:v>
      </x:c>
      <x:c r="L9" s="74" t="n">
        <x:v>3</x:v>
      </x:c>
      <x:c r="M9" s="72" t="str">
        <x:v>Git, bảo mật cấu hình</x:v>
      </x:c>
      <x:c r="N9" s="73" t="str"/>
      <x:c r="O9" s="73" t="str"/>
      <x:c r="P9" s="73" t="str">
        <x:v>Backlog</x:v>
      </x:c>
      <x:c r="Q9" s="73" t="str"/>
      <x:c r="R9" s="73" t="str"/>
    </x:row>
    <x:row r="10" ht="54" customHeight="1">
      <x:c r="A10" s="71" t="str">
        <x:v>CMP-01</x:v>
      </x:c>
      <x:c r="B10" s="71" t="n">
        <x:v>1</x:v>
      </x:c>
      <x:c r="C10" s="71" t="str">
        <x:v>Foundation</x:v>
      </x:c>
      <x:c r="D10" s="71" t="str">
        <x:v>Platform</x:v>
      </x:c>
      <x:c r="E10" s="71" t="str">
        <x:v>Core</x:v>
      </x:c>
      <x:c r="F10" s="71" t="str">
        <x:v>P0</x:v>
      </x:c>
      <x:c r="G10" s="72" t="str">
        <x:v>Tạo Docker Compose network và volumes</x:v>
      </x:c>
      <x:c r="H10" s="72" t="str">
        <x:v>Khai báo network, named volumes, resource baseline và dependency khởi động.</x:v>
      </x:c>
      <x:c r="I10" s="72" t="str">
        <x:v>compose.yaml baseline có network/volumes dùng chung.</x:v>
      </x:c>
      <x:c r="J10" s="72" t="str">
        <x:v>docker compose config hợp lệ; volume bền vững và staging volume được phân biệt.</x:v>
      </x:c>
      <x:c r="K10" s="72" t="str">
        <x:v>REP-01, CFG-01</x:v>
      </x:c>
      <x:c r="L10" s="74" t="n">
        <x:v>5</x:v>
      </x:c>
      <x:c r="M10" s="72" t="str">
        <x:v>Docker Compose</x:v>
      </x:c>
      <x:c r="N10" s="73" t="str"/>
      <x:c r="O10" s="73" t="str"/>
      <x:c r="P10" s="73" t="str">
        <x:v>Backlog</x:v>
      </x:c>
      <x:c r="Q10" s="73" t="str"/>
      <x:c r="R10" s="73" t="str"/>
    </x:row>
    <x:row r="11" ht="54" customHeight="1">
      <x:c r="A11" s="71" t="str">
        <x:v>MIO-01</x:v>
      </x:c>
      <x:c r="B11" s="71" t="n">
        <x:v>1</x:v>
      </x:c>
      <x:c r="C11" s="71" t="str">
        <x:v>Foundation</x:v>
      </x:c>
      <x:c r="D11" s="71" t="str">
        <x:v>Storage</x:v>
      </x:c>
      <x:c r="E11" s="71" t="str">
        <x:v>Core</x:v>
      </x:c>
      <x:c r="F11" s="71" t="str">
        <x:v>P0</x:v>
      </x:c>
      <x:c r="G11" s="72" t="str">
        <x:v>Cấu hình MinIO và bucket init</x:v>
      </x:c>
      <x:c r="H11" s="72" t="str">
        <x:v>Thêm MinIO, health check và init service tạo bucket/prefix logic.</x:v>
      </x:c>
      <x:c r="I11" s="72" t="str">
        <x:v>MinIO service, init script/config và bucket kiểm thử.</x:v>
      </x:c>
      <x:c r="J11" s="72" t="str">
        <x:v>Khởi động mới tạo đúng bucket; ghi/đọc object smoke test thành công.</x:v>
      </x:c>
      <x:c r="K11" s="72" t="str">
        <x:v>CMP-01</x:v>
      </x:c>
      <x:c r="L11" s="74" t="n">
        <x:v>5</x:v>
      </x:c>
      <x:c r="M11" s="72" t="str">
        <x:v>MinIO, S3 API, Docker</x:v>
      </x:c>
      <x:c r="N11" s="73" t="str"/>
      <x:c r="O11" s="73" t="str"/>
      <x:c r="P11" s="73" t="str">
        <x:v>Backlog</x:v>
      </x:c>
      <x:c r="Q11" s="73" t="str"/>
      <x:c r="R11" s="73" t="str"/>
    </x:row>
    <x:row r="12" ht="54" customHeight="1">
      <x:c r="A12" s="71" t="str">
        <x:v>AFL-01</x:v>
      </x:c>
      <x:c r="B12" s="71" t="n">
        <x:v>1</x:v>
      </x:c>
      <x:c r="C12" s="71" t="str">
        <x:v>Foundation</x:v>
      </x:c>
      <x:c r="D12" s="71" t="str">
        <x:v>Orchestration</x:v>
      </x:c>
      <x:c r="E12" s="71" t="str">
        <x:v>Core</x:v>
      </x:c>
      <x:c r="F12" s="71" t="str">
        <x:v>P0</x:v>
      </x:c>
      <x:c r="G12" s="72" t="str">
        <x:v>Cấu hình Airflow local</x:v>
      </x:c>
      <x:c r="H12" s="72" t="str">
        <x:v>Thêm metadata DB, init, scheduler và UI/API service theo phiên bản đã chọn.</x:v>
      </x:c>
      <x:c r="I12" s="72" t="str">
        <x:v>Airflow services và một DAG smoke test.</x:v>
      </x:c>
      <x:c r="J12" s="72" t="str">
        <x:v>Scheduler hoạt động; DAG smoke xuất hiện và chạy thành công.</x:v>
      </x:c>
      <x:c r="K12" s="72" t="str">
        <x:v>CMP-01, CFG-01</x:v>
      </x:c>
      <x:c r="L12" s="74" t="n">
        <x:v>7</x:v>
      </x:c>
      <x:c r="M12" s="72" t="str">
        <x:v>Airflow, Docker</x:v>
      </x:c>
      <x:c r="N12" s="73" t="str"/>
      <x:c r="O12" s="73" t="str"/>
      <x:c r="P12" s="73" t="str">
        <x:v>Backlog</x:v>
      </x:c>
      <x:c r="Q12" s="73" t="str"/>
      <x:c r="R12" s="73" t="str"/>
    </x:row>
    <x:row r="13" ht="54" customHeight="1">
      <x:c r="A13" s="71" t="str">
        <x:v>SPK-01</x:v>
      </x:c>
      <x:c r="B13" s="71" t="n">
        <x:v>1</x:v>
      </x:c>
      <x:c r="C13" s="71" t="str">
        <x:v>Foundation</x:v>
      </x:c>
      <x:c r="D13" s="71" t="str">
        <x:v>Compute</x:v>
      </x:c>
      <x:c r="E13" s="71" t="str">
        <x:v>Core</x:v>
      </x:c>
      <x:c r="F13" s="71" t="str">
        <x:v>P0</x:v>
      </x:c>
      <x:c r="G13" s="72" t="str">
        <x:v>Cấu hình Spark standalone và Java build</x:v>
      </x:c>
      <x:c r="H13" s="72" t="str">
        <x:v>Thêm Spark master/worker/client, Maven wrapper và job Hello World.</x:v>
      </x:c>
      <x:c r="I13" s="72" t="str">
        <x:v>Spark services, pom.xml và JAR smoke test.</x:v>
      </x:c>
      <x:c r="J13" s="72" t="str">
        <x:v>spark-submit chạy trên worker và trả exit code 0.</x:v>
      </x:c>
      <x:c r="K13" s="72" t="str">
        <x:v>CMP-01, REP-01</x:v>
      </x:c>
      <x:c r="L13" s="74" t="n">
        <x:v>6</x:v>
      </x:c>
      <x:c r="M13" s="72" t="str">
        <x:v>Spark, Java, Maven, Docker</x:v>
      </x:c>
      <x:c r="N13" s="73" t="str"/>
      <x:c r="O13" s="73" t="str"/>
      <x:c r="P13" s="73" t="str">
        <x:v>Backlog</x:v>
      </x:c>
      <x:c r="Q13" s="73" t="str"/>
      <x:c r="R13" s="73" t="str"/>
    </x:row>
    <x:row r="14" ht="54" customHeight="1">
      <x:c r="A14" s="71" t="str">
        <x:v>QRY-01</x:v>
      </x:c>
      <x:c r="B14" s="71" t="n">
        <x:v>1</x:v>
      </x:c>
      <x:c r="C14" s="71" t="str">
        <x:v>Foundation</x:v>
      </x:c>
      <x:c r="D14" s="71" t="str">
        <x:v>Serving</x:v>
      </x:c>
      <x:c r="E14" s="71" t="str">
        <x:v>Core</x:v>
      </x:c>
      <x:c r="F14" s="71" t="str">
        <x:v>P1</x:v>
      </x:c>
      <x:c r="G14" s="72" t="str">
        <x:v>Cấu hình Iceberg REST Catalog và Trino</x:v>
      </x:c>
      <x:c r="H14" s="72" t="str">
        <x:v>Khởi động Catalog/Trino, khai báo warehouse MinIO và kiểm tra kết nối nền.</x:v>
      </x:c>
      <x:c r="I14" s="72" t="str">
        <x:v>Catalog và Trino services với catalog config ban đầu.</x:v>
      </x:c>
      <x:c r="J14" s="72" t="str">
        <x:v>Trino khởi động, nhìn thấy catalog/schema kiểm thử và không lộ credential.</x:v>
      </x:c>
      <x:c r="K14" s="72" t="str">
        <x:v>MIO-01, SPK-01</x:v>
      </x:c>
      <x:c r="L14" s="74" t="n">
        <x:v>7</x:v>
      </x:c>
      <x:c r="M14" s="72" t="str">
        <x:v>Iceberg, Trino, MinIO</x:v>
      </x:c>
      <x:c r="N14" s="73" t="str"/>
      <x:c r="O14" s="73" t="str"/>
      <x:c r="P14" s="73" t="str">
        <x:v>Backlog</x:v>
      </x:c>
      <x:c r="Q14" s="73" t="str"/>
      <x:c r="R14" s="73" t="str"/>
    </x:row>
    <x:row r="15" ht="54" customHeight="1">
      <x:c r="A15" s="71" t="str">
        <x:v>FND-01</x:v>
      </x:c>
      <x:c r="B15" s="71" t="n">
        <x:v>1</x:v>
      </x:c>
      <x:c r="C15" s="71" t="str">
        <x:v>Foundation</x:v>
      </x:c>
      <x:c r="D15" s="71" t="str">
        <x:v>QA</x:v>
      </x:c>
      <x:c r="E15" s="71" t="str">
        <x:v>Core</x:v>
      </x:c>
      <x:c r="F15" s="71" t="str">
        <x:v>P0</x:v>
      </x:c>
      <x:c r="G15" s="72" t="str">
        <x:v>Tạo smoke checklist cho môi trường</x:v>
      </x:c>
      <x:c r="H15" s="72" t="str">
        <x:v>Viết script/checklist kiểm tra service health, network, volume và log khởi động.</x:v>
      </x:c>
      <x:c r="I15" s="72" t="str">
        <x:v>Smoke checklist và bằng chứng chạy trên máy local.</x:v>
      </x:c>
      <x:c r="J15" s="72" t="str">
        <x:v>Tất cả service bắt buộc đạt; lỗi phổ biến có hướng xử lý ngắn.</x:v>
      </x:c>
      <x:c r="K15" s="72" t="str">
        <x:v>MIO-01, AFL-01, SPK-01, QRY-01</x:v>
      </x:c>
      <x:c r="L15" s="74" t="n">
        <x:v>4</x:v>
      </x:c>
      <x:c r="M15" s="72" t="str">
        <x:v>QA, Docker, tài liệu</x:v>
      </x:c>
      <x:c r="N15" s="73" t="str"/>
      <x:c r="O15" s="73" t="str"/>
      <x:c r="P15" s="73" t="str">
        <x:v>Backlog</x:v>
      </x:c>
      <x:c r="Q15" s="73" t="str"/>
      <x:c r="R15" s="73" t="str"/>
    </x:row>
    <x:row r="16" ht="54" customHeight="1">
      <x:c r="A16" s="71" t="str">
        <x:v>EXT-01</x:v>
      </x:c>
      <x:c r="B16" s="71" t="n">
        <x:v>2</x:v>
      </x:c>
      <x:c r="C16" s="71" t="str">
        <x:v>Extract &amp; Bronze</x:v>
      </x:c>
      <x:c r="D16" s="71" t="str">
        <x:v>Extraction</x:v>
      </x:c>
      <x:c r="E16" s="71" t="str">
        <x:v>Core</x:v>
      </x:c>
      <x:c r="F16" s="71" t="str">
        <x:v>P0</x:v>
      </x:c>
      <x:c r="G16" s="72" t="str">
        <x:v>Đặc tả USGS request và cửa sổ UTC</x:v>
      </x:c>
      <x:c r="H16" s="72" t="str">
        <x:v>Xác nhận endpoint, tham số thời gian, vùng Nhật Bản, overlap window và response tối thiểu.</x:v>
      </x:c>
      <x:c r="I16" s="72" t="str">
        <x:v>Source contract và fixture response đại diện.</x:v>
      </x:c>
      <x:c r="J16" s="72" t="str">
        <x:v>Request dùng [start,end) UTC; phân biệt response rỗng hợp lệ và lỗi.</x:v>
      </x:c>
      <x:c r="K16" s="72" t="str">
        <x:v>PLN-01</x:v>
      </x:c>
      <x:c r="L16" s="74" t="n">
        <x:v>4</x:v>
      </x:c>
      <x:c r="M16" s="72" t="str">
        <x:v>USGS API, contract testing</x:v>
      </x:c>
      <x:c r="N16" s="73" t="str"/>
      <x:c r="O16" s="73" t="str"/>
      <x:c r="P16" s="73" t="str">
        <x:v>Backlog</x:v>
      </x:c>
      <x:c r="Q16" s="73" t="str"/>
      <x:c r="R16" s="73" t="str"/>
    </x:row>
    <x:row r="17" ht="54" customHeight="1">
      <x:c r="A17" s="71" t="str">
        <x:v>EXT-02</x:v>
      </x:c>
      <x:c r="B17" s="71" t="n">
        <x:v>2</x:v>
      </x:c>
      <x:c r="C17" s="71" t="str">
        <x:v>Extract &amp; Bronze</x:v>
      </x:c>
      <x:c r="D17" s="71" t="str">
        <x:v>Configuration</x:v>
      </x:c>
      <x:c r="E17" s="71" t="str">
        <x:v>Core</x:v>
      </x:c>
      <x:c r="F17" s="71" t="str">
        <x:v>P1</x:v>
      </x:c>
      <x:c r="G17" s="72" t="str">
        <x:v>Tạo pipeline configuration model</x:v>
      </x:c>
      <x:c r="H17" s="72" t="str">
        <x:v>Đọc timezone, schedule, overlap days, bounding box và endpoint từ biến môi trường/config.</x:v>
      </x:c>
      <x:c r="I17" s="72" t="str">
        <x:v>Config class/file có validation.</x:v>
      </x:c>
      <x:c r="J17" s="72" t="str">
        <x:v>Thiếu/sai config dừng sớm với thông báo rõ; không hard-code secret.</x:v>
      </x:c>
      <x:c r="K17" s="72" t="str">
        <x:v>CFG-01, EXT-01</x:v>
      </x:c>
      <x:c r="L17" s="74" t="n">
        <x:v>4</x:v>
      </x:c>
      <x:c r="M17" s="72" t="str">
        <x:v>Java config, validation</x:v>
      </x:c>
      <x:c r="N17" s="73" t="str"/>
      <x:c r="O17" s="73" t="str"/>
      <x:c r="P17" s="73" t="str">
        <x:v>Backlog</x:v>
      </x:c>
      <x:c r="Q17" s="73" t="str"/>
      <x:c r="R17" s="73" t="str"/>
    </x:row>
    <x:row r="18" ht="54" customHeight="1">
      <x:c r="A18" s="71" t="str">
        <x:v>EXT-03</x:v>
      </x:c>
      <x:c r="B18" s="71" t="n">
        <x:v>2</x:v>
      </x:c>
      <x:c r="C18" s="71" t="str">
        <x:v>Extract &amp; Bronze</x:v>
      </x:c>
      <x:c r="D18" s="71" t="str">
        <x:v>Extraction</x:v>
      </x:c>
      <x:c r="E18" s="71" t="str">
        <x:v>Core</x:v>
      </x:c>
      <x:c r="F18" s="71" t="str">
        <x:v>P0</x:v>
      </x:c>
      <x:c r="G18" s="72" t="str">
        <x:v>Xây USGS HTTP client</x:v>
      </x:c>
      <x:c r="H18" s="72" t="str">
        <x:v>Cài timeout, retry/backoff cho 429/5xx, giới hạn response và log request metadata.</x:v>
      </x:c>
      <x:c r="I18" s="72" t="str">
        <x:v>Java HTTP client có test giả lập lỗi tạm thời.</x:v>
      </x:c>
      <x:c r="J18" s="72" t="str">
        <x:v>Retry đúng nhóm lỗi; lỗi 4xx cấu hình không bị retry vô hạn.</x:v>
      </x:c>
      <x:c r="K18" s="72" t="str">
        <x:v>SPK-01, EXT-01, EXT-02</x:v>
      </x:c>
      <x:c r="L18" s="74" t="n">
        <x:v>6</x:v>
      </x:c>
      <x:c r="M18" s="72" t="str">
        <x:v>Java HTTP, retry, testing</x:v>
      </x:c>
      <x:c r="N18" s="73" t="str"/>
      <x:c r="O18" s="73" t="str"/>
      <x:c r="P18" s="73" t="str">
        <x:v>Backlog</x:v>
      </x:c>
      <x:c r="Q18" s="73" t="str"/>
      <x:c r="R18" s="73" t="str"/>
    </x:row>
    <x:row r="19" ht="54" customHeight="1">
      <x:c r="A19" s="71" t="str">
        <x:v>EXT-04</x:v>
      </x:c>
      <x:c r="B19" s="71" t="n">
        <x:v>2</x:v>
      </x:c>
      <x:c r="C19" s="71" t="str">
        <x:v>Extract &amp; Bronze</x:v>
      </x:c>
      <x:c r="D19" s="71" t="str">
        <x:v>Quality</x:v>
      </x:c>
      <x:c r="E19" s="71" t="str">
        <x:v>Core</x:v>
      </x:c>
      <x:c r="F19" s="71" t="str">
        <x:v>P0</x:v>
      </x:c>
      <x:c r="G19" s="72" t="str">
        <x:v>Validate response GeoJSON mức Bronze</x:v>
      </x:c>
      <x:c r="H19" s="72" t="str">
        <x:v>Kiểm tra JSON parse, features array, feature count và response rỗng hợp lệ.</x:v>
      </x:c>
      <x:c r="I19" s="72" t="str">
        <x:v>Bronze response validator và reason code.</x:v>
      </x:c>
      <x:c r="J19" s="72" t="str">
        <x:v>Response hỏng không được đánh dấu BronzeReady; empty response hợp lệ có metric riêng.</x:v>
      </x:c>
      <x:c r="K19" s="72" t="str">
        <x:v>EXT-03</x:v>
      </x:c>
      <x:c r="L19" s="74" t="n">
        <x:v>5</x:v>
      </x:c>
      <x:c r="M19" s="72" t="str">
        <x:v>JSON, GeoJSON, data quality</x:v>
      </x:c>
      <x:c r="N19" s="73" t="str"/>
      <x:c r="O19" s="73" t="str"/>
      <x:c r="P19" s="73" t="str">
        <x:v>Backlog</x:v>
      </x:c>
      <x:c r="Q19" s="73" t="str"/>
      <x:c r="R19" s="73" t="str"/>
    </x:row>
    <x:row r="20" ht="54" customHeight="1">
      <x:c r="A20" s="71" t="str">
        <x:v>EXT-05</x:v>
      </x:c>
      <x:c r="B20" s="71" t="n">
        <x:v>2</x:v>
      </x:c>
      <x:c r="C20" s="71" t="str">
        <x:v>Extract &amp; Bronze</x:v>
      </x:c>
      <x:c r="D20" s="71" t="str">
        <x:v>Storage</x:v>
      </x:c>
      <x:c r="E20" s="71" t="str">
        <x:v>Core</x:v>
      </x:c>
      <x:c r="F20" s="71" t="str">
        <x:v>P0</x:v>
      </x:c>
      <x:c r="G20" s="72" t="str">
        <x:v>Ghi dữ liệu nguyên bản vào Bronze</x:v>
      </x:c>
      <x:c r="H20" s="72" t="str">
        <x:v>Xây path theo ingest_date/run_id và upload response nguyên bản lên MinIO.</x:v>
      </x:c>
      <x:c r="I20" s="72" t="str">
        <x:v>Bronze writer và object naming convention.</x:v>
      </x:c>
      <x:c r="J20" s="72" t="str">
        <x:v>Object đọc lại được; retry không overwrite mơ hồ hoặc làm mất raw response.</x:v>
      </x:c>
      <x:c r="K20" s="72" t="str">
        <x:v>MIO-01, EXT-04</x:v>
      </x:c>
      <x:c r="L20" s="74" t="n">
        <x:v>6</x:v>
      </x:c>
      <x:c r="M20" s="72" t="str">
        <x:v>MinIO SDK, Java, idempotency</x:v>
      </x:c>
      <x:c r="N20" s="73" t="str"/>
      <x:c r="O20" s="73" t="str"/>
      <x:c r="P20" s="73" t="str">
        <x:v>Backlog</x:v>
      </x:c>
      <x:c r="Q20" s="73" t="str"/>
      <x:c r="R20" s="73" t="str"/>
    </x:row>
    <x:row r="21" ht="54" customHeight="1">
      <x:c r="A21" s="71" t="str">
        <x:v>EXT-06</x:v>
      </x:c>
      <x:c r="B21" s="71" t="n">
        <x:v>2</x:v>
      </x:c>
      <x:c r="C21" s="71" t="str">
        <x:v>Extract &amp; Bronze</x:v>
      </x:c>
      <x:c r="D21" s="71" t="str">
        <x:v>Observability</x:v>
      </x:c>
      <x:c r="E21" s="71" t="str">
        <x:v>Core</x:v>
      </x:c>
      <x:c r="F21" s="71" t="str">
        <x:v>P1</x:v>
      </x:c>
      <x:c r="G21" s="72" t="str">
        <x:v>Ghi ingest metadata và checksum</x:v>
      </x:c>
      <x:c r="H21" s="72" t="str">
        <x:v>Lưu source, window, fetch time, status, feature count, checksum và run ID.</x:v>
      </x:c>
      <x:c r="I21" s="72" t="str">
        <x:v>metadata.json và log summary cho mỗi ingest.</x:v>
      </x:c>
      <x:c r="J21" s="72" t="str">
        <x:v>Checksum khớp object; metadata đủ để tái xử lý đúng input.</x:v>
      </x:c>
      <x:c r="K21" s="72" t="str">
        <x:v>EXT-05</x:v>
      </x:c>
      <x:c r="L21" s="74" t="n">
        <x:v>5</x:v>
      </x:c>
      <x:c r="M21" s="72" t="str">
        <x:v>Metadata, checksum, logging</x:v>
      </x:c>
      <x:c r="N21" s="73" t="str"/>
      <x:c r="O21" s="73" t="str"/>
      <x:c r="P21" s="73" t="str">
        <x:v>Backlog</x:v>
      </x:c>
      <x:c r="Q21" s="73" t="str"/>
      <x:c r="R21" s="73" t="str"/>
    </x:row>
    <x:row r="22" ht="54" customHeight="1">
      <x:c r="A22" s="71" t="str">
        <x:v>EXT-07</x:v>
      </x:c>
      <x:c r="B22" s="71" t="n">
        <x:v>2</x:v>
      </x:c>
      <x:c r="C22" s="71" t="str">
        <x:v>Extract &amp; Bronze</x:v>
      </x:c>
      <x:c r="D22" s="71" t="str">
        <x:v>Orchestration</x:v>
      </x:c>
      <x:c r="E22" s="71" t="str">
        <x:v>Core</x:v>
      </x:c>
      <x:c r="F22" s="71" t="str">
        <x:v>P0</x:v>
      </x:c>
      <x:c r="G22" s="72" t="str">
        <x:v>Tích hợp Extract vào Airflow DAG</x:v>
      </x:c>
      <x:c r="H22" s="72" t="str">
        <x:v>Tạo task resolve interval, extract, verify Bronze và dependency dừng downstream.</x:v>
      </x:c>
      <x:c r="I22" s="72" t="str">
        <x:v>DAG Extract/Bronze có retry và run context.</x:v>
      </x:c>
      <x:c r="J22" s="72" t="str">
        <x:v>UI hiển thị từng task; Silver không chạy nếu Bronze verify thất bại.</x:v>
      </x:c>
      <x:c r="K22" s="72" t="str">
        <x:v>AFL-01, EXT-03, EXT-06</x:v>
      </x:c>
      <x:c r="L22" s="74" t="n">
        <x:v>6</x:v>
      </x:c>
      <x:c r="M22" s="72" t="str">
        <x:v>Airflow, Python/Java integration</x:v>
      </x:c>
      <x:c r="N22" s="73" t="str"/>
      <x:c r="O22" s="73" t="str"/>
      <x:c r="P22" s="73" t="str">
        <x:v>Backlog</x:v>
      </x:c>
      <x:c r="Q22" s="73" t="str"/>
      <x:c r="R22" s="73" t="str"/>
    </x:row>
    <x:row r="23" ht="54" customHeight="1">
      <x:c r="A23" s="71" t="str">
        <x:v>EXT-08</x:v>
      </x:c>
      <x:c r="B23" s="71" t="n">
        <x:v>2</x:v>
      </x:c>
      <x:c r="C23" s="71" t="str">
        <x:v>Extract &amp; Bronze</x:v>
      </x:c>
      <x:c r="D23" s="71" t="str">
        <x:v>QA</x:v>
      </x:c>
      <x:c r="E23" s="71" t="str">
        <x:v>Core</x:v>
      </x:c>
      <x:c r="F23" s="71" t="str">
        <x:v>P1</x:v>
      </x:c>
      <x:c r="G23" s="72" t="str">
        <x:v>Viết unit test và fixtures cho Extract</x:v>
      </x:c>
      <x:c r="H23" s="72" t="str">
        <x:v>Bao phủ success, empty, invalid JSON, timeout, 429/5xx và checksum mismatch.</x:v>
      </x:c>
      <x:c r="I23" s="72" t="str">
        <x:v>Bộ fixtures nhỏ và test tự động.</x:v>
      </x:c>
      <x:c r="J23" s="72" t="str">
        <x:v>Test ổn định, không phụ thuộc mạng cho unit test và có assertion hành vi retry.</x:v>
      </x:c>
      <x:c r="K23" s="72" t="str">
        <x:v>EXT-03, EXT-04, EXT-06</x:v>
      </x:c>
      <x:c r="L23" s="74" t="n">
        <x:v>5</x:v>
      </x:c>
      <x:c r="M23" s="72" t="str">
        <x:v>JUnit, mocking, fixtures</x:v>
      </x:c>
      <x:c r="N23" s="73" t="str"/>
      <x:c r="O23" s="73" t="str"/>
      <x:c r="P23" s="73" t="str">
        <x:v>Backlog</x:v>
      </x:c>
      <x:c r="Q23" s="73" t="str"/>
      <x:c r="R23" s="73" t="str"/>
    </x:row>
    <x:row r="24" ht="54" customHeight="1">
      <x:c r="A24" s="71" t="str">
        <x:v>EXT-09</x:v>
      </x:c>
      <x:c r="B24" s="71" t="n">
        <x:v>2</x:v>
      </x:c>
      <x:c r="C24" s="71" t="str">
        <x:v>Extract &amp; Bronze</x:v>
      </x:c>
      <x:c r="D24" s="71" t="str">
        <x:v>QA</x:v>
      </x:c>
      <x:c r="E24" s="71" t="str">
        <x:v>Core</x:v>
      </x:c>
      <x:c r="F24" s="71" t="str">
        <x:v>P0</x:v>
      </x:c>
      <x:c r="G24" s="72" t="str">
        <x:v>Integration test USGS đến Bronze</x:v>
      </x:c>
      <x:c r="H24" s="72" t="str">
        <x:v>Chạy một cửa sổ nhỏ hoặc fixture qua DAG và kiểm tra object/metadata trên MinIO.</x:v>
      </x:c>
      <x:c r="I24" s="72" t="str">
        <x:v>Evidence integration run và record-count summary.</x:v>
      </x:c>
      <x:c r="J24" s="72" t="str">
        <x:v>Có run ID truy vết; Bronze object, metadata và Airflow log đối soát được.</x:v>
      </x:c>
      <x:c r="K24" s="72" t="str">
        <x:v>EXT-07, EXT-08</x:v>
      </x:c>
      <x:c r="L24" s="74" t="n">
        <x:v>4</x:v>
      </x:c>
      <x:c r="M24" s="72" t="str">
        <x:v>Integration testing, Airflow, MinIO</x:v>
      </x:c>
      <x:c r="N24" s="73" t="str"/>
      <x:c r="O24" s="73" t="str"/>
      <x:c r="P24" s="73" t="str">
        <x:v>Backlog</x:v>
      </x:c>
      <x:c r="Q24" s="73" t="str"/>
      <x:c r="R24" s="73" t="str"/>
    </x:row>
    <x:row r="25" ht="54" customHeight="1">
      <x:c r="A25" s="71" t="str">
        <x:v>SLV-01</x:v>
      </x:c>
      <x:c r="B25" s="71" t="n">
        <x:v>3</x:v>
      </x:c>
      <x:c r="C25" s="71" t="str">
        <x:v>Silver</x:v>
      </x:c>
      <x:c r="D25" s="71" t="str">
        <x:v>Data Contract</x:v>
      </x:c>
      <x:c r="E25" s="71" t="str">
        <x:v>Core</x:v>
      </x:c>
      <x:c r="F25" s="71" t="str">
        <x:v>P0</x:v>
      </x:c>
      <x:c r="G25" s="72" t="str">
        <x:v>Chốt logical contract Silver</x:v>
      </x:c>
      <x:c r="H25" s="72" t="str">
        <x:v>Xác định trường, kiểu, UTC/JST, null policy, reject reason và schema version.</x:v>
      </x:c>
      <x:c r="I25" s="72" t="str">
        <x:v>Silver contract trong code/docs.</x:v>
      </x:c>
      <x:c r="J25" s="72" t="str">
        <x:v>Contract đủ cho Gold và test; không khóa schema vật lý database.</x:v>
      </x:c>
      <x:c r="K25" s="72" t="str">
        <x:v>EXT-09</x:v>
      </x:c>
      <x:c r="L25" s="74" t="n">
        <x:v>4</x:v>
      </x:c>
      <x:c r="M25" s="72" t="str">
        <x:v>Data modeling, documentation</x:v>
      </x:c>
      <x:c r="N25" s="73" t="str"/>
      <x:c r="O25" s="73" t="str"/>
      <x:c r="P25" s="73" t="str">
        <x:v>Backlog</x:v>
      </x:c>
      <x:c r="Q25" s="73" t="str"/>
      <x:c r="R25" s="73" t="str"/>
    </x:row>
    <x:row r="26" ht="54" customHeight="1">
      <x:c r="A26" s="71" t="str">
        <x:v>SLV-02</x:v>
      </x:c>
      <x:c r="B26" s="71" t="n">
        <x:v>3</x:v>
      </x:c>
      <x:c r="C26" s="71" t="str">
        <x:v>Silver</x:v>
      </x:c>
      <x:c r="D26" s="71" t="str">
        <x:v>Orchestration</x:v>
      </x:c>
      <x:c r="E26" s="71" t="str">
        <x:v>Core</x:v>
      </x:c>
      <x:c r="F26" s="71" t="str">
        <x:v>P0</x:v>
      </x:c>
      <x:c r="G26" s="72" t="str">
        <x:v>Stage đúng Bronze input cho Spark</x:v>
      </x:c>
      <x:c r="H26" s="72" t="str">
        <x:v>Resolve object URI theo run context, tải/mount vào staging và tránh wildcard rộng.</x:v>
      </x:c>
      <x:c r="I26" s="72" t="str">
        <x:v>Airflow staging task và manifest input.</x:v>
      </x:c>
      <x:c r="J26" s="72" t="str">
        <x:v>Spark chỉ đọc object thuộc run; retry tái sử dụng Bronze hợp lệ.</x:v>
      </x:c>
      <x:c r="K26" s="72" t="str">
        <x:v>EXT-09, SLV-01</x:v>
      </x:c>
      <x:c r="L26" s="74" t="n">
        <x:v>5</x:v>
      </x:c>
      <x:c r="M26" s="72" t="str">
        <x:v>Airflow, MinIO, file staging</x:v>
      </x:c>
      <x:c r="N26" s="73" t="str"/>
      <x:c r="O26" s="73" t="str"/>
      <x:c r="P26" s="73" t="str">
        <x:v>Backlog</x:v>
      </x:c>
      <x:c r="Q26" s="73" t="str"/>
      <x:c r="R26" s="73" t="str"/>
    </x:row>
    <x:row r="27" ht="54" customHeight="1">
      <x:c r="A27" s="71" t="str">
        <x:v>SLV-03</x:v>
      </x:c>
      <x:c r="B27" s="71" t="n">
        <x:v>3</x:v>
      </x:c>
      <x:c r="C27" s="71" t="str">
        <x:v>Silver</x:v>
      </x:c>
      <x:c r="D27" s="71" t="str">
        <x:v>Compute</x:v>
      </x:c>
      <x:c r="E27" s="71" t="str">
        <x:v>Core</x:v>
      </x:c>
      <x:c r="F27" s="71" t="str">
        <x:v>P0</x:v>
      </x:c>
      <x:c r="G27" s="72" t="str">
        <x:v>Parse GeoJSON features bằng Spark</x:v>
      </x:c>
      <x:c r="H27" s="72" t="str">
        <x:v>Ánh xạ ID, time, updated, coordinates và properties cần thiết thành DataFrame typed.</x:v>
      </x:c>
      <x:c r="I27" s="72" t="str">
        <x:v>Spark Java parser cho Bronze GeoJSON.</x:v>
      </x:c>
      <x:c r="J27" s="72" t="str">
        <x:v>Fixture chuẩn parse đúng; field thiếu/sai type được chuyển thành validation result rõ.</x:v>
      </x:c>
      <x:c r="K27" s="72" t="str">
        <x:v>SLV-01, SLV-02</x:v>
      </x:c>
      <x:c r="L27" s="74" t="n">
        <x:v>6</x:v>
      </x:c>
      <x:c r="M27" s="72" t="str">
        <x:v>Spark SQL, Java, GeoJSON</x:v>
      </x:c>
      <x:c r="N27" s="73" t="str"/>
      <x:c r="O27" s="73" t="str"/>
      <x:c r="P27" s="73" t="str">
        <x:v>Backlog</x:v>
      </x:c>
      <x:c r="Q27" s="73" t="str"/>
      <x:c r="R27" s="73" t="str"/>
    </x:row>
    <x:row r="28" ht="54" customHeight="1">
      <x:c r="A28" s="71" t="str">
        <x:v>SLV-04</x:v>
      </x:c>
      <x:c r="B28" s="71" t="n">
        <x:v>3</x:v>
      </x:c>
      <x:c r="C28" s="71" t="str">
        <x:v>Silver</x:v>
      </x:c>
      <x:c r="D28" s="71" t="str">
        <x:v>Compute</x:v>
      </x:c>
      <x:c r="E28" s="71" t="str">
        <x:v>Core</x:v>
      </x:c>
      <x:c r="F28" s="71" t="str">
        <x:v>P0</x:v>
      </x:c>
      <x:c r="G28" s="72" t="str">
        <x:v>Chuẩn hóa timestamp và kiểu dữ liệu</x:v>
      </x:c>
      <x:c r="H28" s="72" t="str">
        <x:v>Chuyển time/updated sang UTC, tạo JST, ép kiểu magnitude/depth/coordinates/flags.</x:v>
      </x:c>
      <x:c r="I28" s="72" t="str">
        <x:v>Transformation functions tái sử dụng được.</x:v>
      </x:c>
      <x:c r="J28" s="72" t="str">
        <x:v>UTC→JST đúng qua test; null không bị biến thành 0 ngoài chính sách.</x:v>
      </x:c>
      <x:c r="K28" s="72" t="str">
        <x:v>SLV-03</x:v>
      </x:c>
      <x:c r="L28" s="74" t="n">
        <x:v>5</x:v>
      </x:c>
      <x:c r="M28" s="72" t="str">
        <x:v>Spark SQL, timezone, typing</x:v>
      </x:c>
      <x:c r="N28" s="73" t="str"/>
      <x:c r="O28" s="73" t="str"/>
      <x:c r="P28" s="73" t="str">
        <x:v>Backlog</x:v>
      </x:c>
      <x:c r="Q28" s="73" t="str"/>
      <x:c r="R28" s="73" t="str"/>
    </x:row>
    <x:row r="29" ht="54" customHeight="1">
      <x:c r="A29" s="71" t="str">
        <x:v>SLV-05</x:v>
      </x:c>
      <x:c r="B29" s="71" t="n">
        <x:v>3</x:v>
      </x:c>
      <x:c r="C29" s="71" t="str">
        <x:v>Silver</x:v>
      </x:c>
      <x:c r="D29" s="71" t="str">
        <x:v>Quality</x:v>
      </x:c>
      <x:c r="E29" s="71" t="str">
        <x:v>Core</x:v>
      </x:c>
      <x:c r="F29" s="71" t="str">
        <x:v>P0</x:v>
      </x:c>
      <x:c r="G29" s="72" t="str">
        <x:v>Áp dụng validation và reject metrics</x:v>
      </x:c>
      <x:c r="H29" s="72" t="str">
        <x:v>Kiểm tra required field, tọa độ, parseability, vùng nghiên cứu; tổng hợp reason count.</x:v>
      </x:c>
      <x:c r="I29" s="72" t="str">
        <x:v>Silver validator và quality summary.</x:v>
      </x:c>
      <x:c r="J29" s="72" t="str">
        <x:v>valid + rejected = parsed; blocker dừng publish; raw vẫn truy vết được từ Bronze.</x:v>
      </x:c>
      <x:c r="K29" s="72" t="str">
        <x:v>SLV-04</x:v>
      </x:c>
      <x:c r="L29" s="74" t="n">
        <x:v>6</x:v>
      </x:c>
      <x:c r="M29" s="72" t="str">
        <x:v>Data quality, Spark</x:v>
      </x:c>
      <x:c r="N29" s="73" t="str"/>
      <x:c r="O29" s="73" t="str"/>
      <x:c r="P29" s="73" t="str">
        <x:v>Backlog</x:v>
      </x:c>
      <x:c r="Q29" s="73" t="str"/>
      <x:c r="R29" s="73" t="str"/>
    </x:row>
    <x:row r="30" ht="54" customHeight="1">
      <x:c r="A30" s="71" t="str">
        <x:v>SLV-06</x:v>
      </x:c>
      <x:c r="B30" s="71" t="n">
        <x:v>3</x:v>
      </x:c>
      <x:c r="C30" s="71" t="str">
        <x:v>Silver</x:v>
      </x:c>
      <x:c r="D30" s="71" t="str">
        <x:v>Compute</x:v>
      </x:c>
      <x:c r="E30" s="71" t="str">
        <x:v>Core</x:v>
      </x:c>
      <x:c r="F30" s="71" t="str">
        <x:v>P0</x:v>
      </x:c>
      <x:c r="G30" s="72" t="str">
        <x:v>Deduplicate theo id và updated</x:v>
      </x:c>
      <x:c r="H30" s="72" t="str">
        <x:v>Giữ updated mới nhất, định nghĩa tie-break và xử lý duplicate xuyên overlap/partition.</x:v>
      </x:c>
      <x:c r="I30" s="72" t="str">
        <x:v>Dedup transformation và fixtures late update.</x:v>
      </x:c>
      <x:c r="J30" s="72" t="str">
        <x:v>Mỗi id chỉ còn một bản ghi; rerun cùng input cho cùng kết quả logic.</x:v>
      </x:c>
      <x:c r="K30" s="72" t="str">
        <x:v>SLV-04, SLV-05</x:v>
      </x:c>
      <x:c r="L30" s="74" t="n">
        <x:v>6</x:v>
      </x:c>
      <x:c r="M30" s="72" t="str">
        <x:v>Spark window, idempotency</x:v>
      </x:c>
      <x:c r="N30" s="73" t="str"/>
      <x:c r="O30" s="73" t="str"/>
      <x:c r="P30" s="73" t="str">
        <x:v>Backlog</x:v>
      </x:c>
      <x:c r="Q30" s="73" t="str"/>
      <x:c r="R30" s="73" t="str"/>
    </x:row>
    <x:row r="31" ht="54" customHeight="1">
      <x:c r="A31" s="71" t="str">
        <x:v>SLV-07</x:v>
      </x:c>
      <x:c r="B31" s="71" t="n">
        <x:v>3</x:v>
      </x:c>
      <x:c r="C31" s="71" t="str">
        <x:v>Silver</x:v>
      </x:c>
      <x:c r="D31" s="71" t="str">
        <x:v>Storage</x:v>
      </x:c>
      <x:c r="E31" s="71" t="str">
        <x:v>Core</x:v>
      </x:c>
      <x:c r="F31" s="71" t="str">
        <x:v>P0</x:v>
      </x:c>
      <x:c r="G31" s="72" t="str">
        <x:v>Ghi Silver Parquet phân vùng</x:v>
      </x:c>
      <x:c r="H31" s="72" t="str">
        <x:v>Ghi output tạm, kiểm tra schema/count rồi publish partition year/month lên MinIO.</x:v>
      </x:c>
      <x:c r="I31" s="72" t="str">
        <x:v>Silver Parquet writer và naming/partition convention.</x:v>
      </x:c>
      <x:c r="J31" s="72" t="str">
        <x:v>Không có output dở được coi là hoàn tất; partition khớp event time UTC.</x:v>
      </x:c>
      <x:c r="K31" s="72" t="str">
        <x:v>SLV-06, MIO-01</x:v>
      </x:c>
      <x:c r="L31" s="74" t="n">
        <x:v>5</x:v>
      </x:c>
      <x:c r="M31" s="72" t="str">
        <x:v>Parquet, MinIO, Spark</x:v>
      </x:c>
      <x:c r="N31" s="73" t="str"/>
      <x:c r="O31" s="73" t="str"/>
      <x:c r="P31" s="73" t="str">
        <x:v>Backlog</x:v>
      </x:c>
      <x:c r="Q31" s="73" t="str"/>
      <x:c r="R31" s="73" t="str"/>
    </x:row>
    <x:row r="32" ht="54" customHeight="1">
      <x:c r="A32" s="71" t="str">
        <x:v>SLV-08</x:v>
      </x:c>
      <x:c r="B32" s="71" t="n">
        <x:v>3</x:v>
      </x:c>
      <x:c r="C32" s="71" t="str">
        <x:v>Silver</x:v>
      </x:c>
      <x:c r="D32" s="71" t="str">
        <x:v>Orchestration</x:v>
      </x:c>
      <x:c r="E32" s="71" t="str">
        <x:v>Core</x:v>
      </x:c>
      <x:c r="F32" s="71" t="str">
        <x:v>P0</x:v>
      </x:c>
      <x:c r="G32" s="72" t="str">
        <x:v>Tích hợp build_silver vào DAG</x:v>
      </x:c>
      <x:c r="H32" s="72" t="str">
        <x:v>Submit JAR, thu metrics, upload Silver và chỉ mở Gold khi gate đạt.</x:v>
      </x:c>
      <x:c r="I32" s="72" t="str">
        <x:v>Airflow Silver task group hoàn chỉnh.</x:v>
      </x:c>
      <x:c r="J32" s="72" t="str">
        <x:v>Retry không gọi lại USGS; exit code và quality gate quyết định trạng thái task.</x:v>
      </x:c>
      <x:c r="K32" s="72" t="str">
        <x:v>SLV-02, SLV-07</x:v>
      </x:c>
      <x:c r="L32" s="74" t="n">
        <x:v>4</x:v>
      </x:c>
      <x:c r="M32" s="72" t="str">
        <x:v>Airflow, spark-submit</x:v>
      </x:c>
      <x:c r="N32" s="73" t="str"/>
      <x:c r="O32" s="73" t="str"/>
      <x:c r="P32" s="73" t="str">
        <x:v>Backlog</x:v>
      </x:c>
      <x:c r="Q32" s="73" t="str"/>
      <x:c r="R32" s="73" t="str"/>
    </x:row>
    <x:row r="33" ht="54" customHeight="1">
      <x:c r="A33" s="71" t="str">
        <x:v>SLV-09</x:v>
      </x:c>
      <x:c r="B33" s="71" t="n">
        <x:v>3</x:v>
      </x:c>
      <x:c r="C33" s="71" t="str">
        <x:v>Silver</x:v>
      </x:c>
      <x:c r="D33" s="71" t="str">
        <x:v>QA</x:v>
      </x:c>
      <x:c r="E33" s="71" t="str">
        <x:v>Core</x:v>
      </x:c>
      <x:c r="F33" s="71" t="str">
        <x:v>P0</x:v>
      </x:c>
      <x:c r="G33" s="72" t="str">
        <x:v>Kiểm thử Silver và idempotency</x:v>
      </x:c>
      <x:c r="H33" s="72" t="str">
        <x:v>Test parse, timezone, invalid rows, dedup, late update, partition và chạy hai lần.</x:v>
      </x:c>
      <x:c r="I33" s="72" t="str">
        <x:v>Unit/integration test suite cùng báo cáo count.</x:v>
      </x:c>
      <x:c r="J33" s="72" t="str">
        <x:v>Tập khóa và KPI Silver không đổi khi rerun cùng fixture.</x:v>
      </x:c>
      <x:c r="K33" s="72" t="str">
        <x:v>SLV-08</x:v>
      </x:c>
      <x:c r="L33" s="74" t="n">
        <x:v>4</x:v>
      </x:c>
      <x:c r="M33" s="72" t="str">
        <x:v>JUnit, Spark local, reconciliation</x:v>
      </x:c>
      <x:c r="N33" s="73" t="str"/>
      <x:c r="O33" s="73" t="str"/>
      <x:c r="P33" s="73" t="str">
        <x:v>Backlog</x:v>
      </x:c>
      <x:c r="Q33" s="73" t="str"/>
      <x:c r="R33" s="73" t="str"/>
    </x:row>
    <x:row r="34" ht="54" customHeight="1">
      <x:c r="A34" s="71" t="str">
        <x:v>GLD-01</x:v>
      </x:c>
      <x:c r="B34" s="71" t="n">
        <x:v>4</x:v>
      </x:c>
      <x:c r="C34" s="71" t="str">
        <x:v>Gold &amp; Serving</x:v>
      </x:c>
      <x:c r="D34" s="71" t="str">
        <x:v>Analytics Contract</x:v>
      </x:c>
      <x:c r="E34" s="71" t="str">
        <x:v>Core</x:v>
      </x:c>
      <x:c r="F34" s="71" t="str">
        <x:v>P0</x:v>
      </x:c>
      <x:c r="G34" s="72" t="str">
        <x:v>Chốt Gold analytics contract và KPI</x:v>
      </x:c>
      <x:c r="H34" s="72" t="str">
        <x:v>Xác định fact/current view, date/region/bands và aggregate cần cho Power BI.</x:v>
      </x:c>
      <x:c r="I34" s="72" t="str">
        <x:v>Gold logical contract và query examples.</x:v>
      </x:c>
      <x:c r="J34" s="72" t="str">
        <x:v>Mỗi KPI có định nghĩa, filter context và trường nguồn; không thiết kế DDL/database chi tiết.</x:v>
      </x:c>
      <x:c r="K34" s="72" t="str">
        <x:v>SLV-09</x:v>
      </x:c>
      <x:c r="L34" s="74" t="n">
        <x:v>4</x:v>
      </x:c>
      <x:c r="M34" s="72" t="str">
        <x:v>Analytics modeling, SQL</x:v>
      </x:c>
      <x:c r="N34" s="73" t="str"/>
      <x:c r="O34" s="73" t="str"/>
      <x:c r="P34" s="73" t="str">
        <x:v>Backlog</x:v>
      </x:c>
      <x:c r="Q34" s="73" t="str"/>
      <x:c r="R34" s="73" t="str"/>
    </x:row>
    <x:row r="35" ht="54" customHeight="1">
      <x:c r="A35" s="71" t="str">
        <x:v>GLD-02</x:v>
      </x:c>
      <x:c r="B35" s="71" t="n">
        <x:v>4</x:v>
      </x:c>
      <x:c r="C35" s="71" t="str">
        <x:v>Gold &amp; Serving</x:v>
      </x:c>
      <x:c r="D35" s="71" t="str">
        <x:v>Spatial Data</x:v>
      </x:c>
      <x:c r="E35" s="71" t="str">
        <x:v>Stretch</x:v>
      </x:c>
      <x:c r="F35" s="71" t="str">
        <x:v>P2</x:v>
      </x:c>
      <x:c r="G35" s="72" t="str">
        <x:v>Ingest và chuẩn hóa boundary Nhật Bản</x:v>
      </x:c>
      <x:c r="H35" s="72" t="str">
        <x:v>Tải nguồn boundary đã chọn, chuẩn hóa CRS/geometry và lưu Bronze/Silver tham chiếu.</x:v>
      </x:c>
      <x:c r="I35" s="72" t="str">
        <x:v>Boundary dataset reproducible cùng metadata nguồn.</x:v>
      </x:c>
      <x:c r="J35" s="72" t="str">
        <x:v>Nguồn, version và CRS được ghi; dữ liệu có thể đọc bởi job enrichment.</x:v>
      </x:c>
      <x:c r="K35" s="72" t="str">
        <x:v>MIO-01, GLD-01</x:v>
      </x:c>
      <x:c r="L35" s="74" t="n">
        <x:v>5</x:v>
      </x:c>
      <x:c r="M35" s="72" t="str">
        <x:v>GIS, GeoJSON/Shapefile, metadata</x:v>
      </x:c>
      <x:c r="N35" s="73" t="str"/>
      <x:c r="O35" s="73" t="str"/>
      <x:c r="P35" s="73" t="str">
        <x:v>Backlog</x:v>
      </x:c>
      <x:c r="Q35" s="73" t="str"/>
      <x:c r="R35" s="73" t="str"/>
    </x:row>
    <x:row r="36" ht="54" customHeight="1">
      <x:c r="A36" s="71" t="str">
        <x:v>GLD-03</x:v>
      </x:c>
      <x:c r="B36" s="71" t="n">
        <x:v>4</x:v>
      </x:c>
      <x:c r="C36" s="71" t="str">
        <x:v>Gold &amp; Serving</x:v>
      </x:c>
      <x:c r="D36" s="71" t="str">
        <x:v>Spatial Enrichment</x:v>
      </x:c>
      <x:c r="E36" s="71" t="str">
        <x:v>Stretch</x:v>
      </x:c>
      <x:c r="F36" s="71" t="str">
        <x:v>P2</x:v>
      </x:c>
      <x:c r="G36" s="72" t="str">
        <x:v>Spatial enrichment và fallback ngoài khơi</x:v>
      </x:c>
      <x:c r="H36" s="72" t="str">
        <x:v>Gán prefecture/region hoặc nearest/offshore theo quy tắc đã chốt; không làm mất event.</x:v>
      </x:c>
      <x:c r="I36" s="72" t="str">
        <x:v>Enrichment transformation và match-rate report.</x:v>
      </x:c>
      <x:c r="J36" s="72" t="str">
        <x:v>Event không match vẫn tồn tại với Unknown/Offshore; tỷ lệ match được báo cáo.</x:v>
      </x:c>
      <x:c r="K36" s="72" t="str">
        <x:v>GLD-02, SLV-09</x:v>
      </x:c>
      <x:c r="L36" s="74" t="n">
        <x:v>7</x:v>
      </x:c>
      <x:c r="M36" s="72" t="str">
        <x:v>Apache Sedona/GIS, Spark</x:v>
      </x:c>
      <x:c r="N36" s="73" t="str"/>
      <x:c r="O36" s="73" t="str"/>
      <x:c r="P36" s="73" t="str">
        <x:v>Backlog</x:v>
      </x:c>
      <x:c r="Q36" s="73" t="str"/>
      <x:c r="R36" s="73" t="str"/>
    </x:row>
    <x:row r="37" ht="54" customHeight="1">
      <x:c r="A37" s="71" t="str">
        <x:v>GLD-04</x:v>
      </x:c>
      <x:c r="B37" s="71" t="n">
        <x:v>4</x:v>
      </x:c>
      <x:c r="C37" s="71" t="str">
        <x:v>Gold &amp; Serving</x:v>
      </x:c>
      <x:c r="D37" s="71" t="str">
        <x:v>Compute</x:v>
      </x:c>
      <x:c r="E37" s="71" t="str">
        <x:v>Core</x:v>
      </x:c>
      <x:c r="F37" s="71" t="str">
        <x:v>P1</x:v>
      </x:c>
      <x:c r="G37" s="72" t="str">
        <x:v>Tạo magnitude và depth bands</x:v>
      </x:c>
      <x:c r="H37" s="72" t="str">
        <x:v>Cài mapping band tập trung, ranh giới không chồng lấn và unit test ngưỡng.</x:v>
      </x:c>
      <x:c r="I37" s="72" t="str">
        <x:v>Band transformation và mapping docs.</x:v>
      </x:c>
      <x:c r="J37" s="72" t="str">
        <x:v>Giá trị tại biên được phân loại đúng; null giữ đúng chính sách.</x:v>
      </x:c>
      <x:c r="K37" s="72" t="str">
        <x:v>GLD-01, SLV-09</x:v>
      </x:c>
      <x:c r="L37" s="74" t="n">
        <x:v>4</x:v>
      </x:c>
      <x:c r="M37" s="72" t="str">
        <x:v>Spark SQL, business rules</x:v>
      </x:c>
      <x:c r="N37" s="73" t="str"/>
      <x:c r="O37" s="73" t="str"/>
      <x:c r="P37" s="73" t="str">
        <x:v>Backlog</x:v>
      </x:c>
      <x:c r="Q37" s="73" t="str"/>
      <x:c r="R37" s="73" t="str"/>
    </x:row>
    <x:row r="38" ht="54" customHeight="1">
      <x:c r="A38" s="71" t="str">
        <x:v>GLD-05</x:v>
      </x:c>
      <x:c r="B38" s="71" t="n">
        <x:v>4</x:v>
      </x:c>
      <x:c r="C38" s="71" t="str">
        <x:v>Gold &amp; Serving</x:v>
      </x:c>
      <x:c r="D38" s="71" t="str">
        <x:v>Compute</x:v>
      </x:c>
      <x:c r="E38" s="71" t="str">
        <x:v>Core</x:v>
      </x:c>
      <x:c r="F38" s="71" t="str">
        <x:v>P0</x:v>
      </x:c>
      <x:c r="G38" s="72" t="str">
        <x:v>Xây Gold fact/current dataset</x:v>
      </x:c>
      <x:c r="H38" s="72" t="str">
        <x:v>Tạo dataset sự kiện hiện hành với khóa, thời gian, vị trí, magnitude/depth và flags.</x:v>
      </x:c>
      <x:c r="I38" s="72" t="str">
        <x:v>Gold fact/current Spark transformation.</x:v>
      </x:c>
      <x:c r="J38" s="72" t="str">
        <x:v>earthquake_id duy nhất; count đối soát được với Silver phạm vi publish.</x:v>
      </x:c>
      <x:c r="K38" s="72" t="str">
        <x:v>GLD-01, GLD-04</x:v>
      </x:c>
      <x:c r="L38" s="74" t="n">
        <x:v>5</x:v>
      </x:c>
      <x:c r="M38" s="72" t="str">
        <x:v>Spark SQL, analytics modeling</x:v>
      </x:c>
      <x:c r="N38" s="73" t="str"/>
      <x:c r="O38" s="73" t="str"/>
      <x:c r="P38" s="73" t="str">
        <x:v>Backlog</x:v>
      </x:c>
      <x:c r="Q38" s="73" t="str"/>
      <x:c r="R38" s="73" t="str"/>
    </x:row>
    <x:row r="39" ht="54" customHeight="1">
      <x:c r="A39" s="71" t="str">
        <x:v>GLD-06</x:v>
      </x:c>
      <x:c r="B39" s="71" t="n">
        <x:v>4</x:v>
      </x:c>
      <x:c r="C39" s="71" t="str">
        <x:v>Gold &amp; Serving</x:v>
      </x:c>
      <x:c r="D39" s="71" t="str">
        <x:v>Analytics</x:v>
      </x:c>
      <x:c r="E39" s="71" t="str">
        <x:v>Core</x:v>
      </x:c>
      <x:c r="F39" s="71" t="str">
        <x:v>P1</x:v>
      </x:c>
      <x:c r="G39" s="72" t="str">
        <x:v>Xây aggregate ngày/tháng/khu vực</x:v>
      </x:c>
      <x:c r="H39" s="72" t="str">
        <x:v>Tính count, avg/max magnitude, avg depth, tsunami/alert counts theo filter grain cần thiết.</x:v>
      </x:c>
      <x:c r="I39" s="72" t="str">
        <x:v>Gold aggregate datasets hoặc views.</x:v>
      </x:c>
      <x:c r="J39" s="72" t="str">
        <x:v>Aggregate count khớp fact với cùng filter; không double count do join.</x:v>
      </x:c>
      <x:c r="K39" s="72" t="str">
        <x:v>GLD-05</x:v>
      </x:c>
      <x:c r="L39" s="74" t="n">
        <x:v>5</x:v>
      </x:c>
      <x:c r="M39" s="72" t="str">
        <x:v>Spark SQL, aggregation</x:v>
      </x:c>
      <x:c r="N39" s="73" t="str"/>
      <x:c r="O39" s="73" t="str"/>
      <x:c r="P39" s="73" t="str">
        <x:v>Backlog</x:v>
      </x:c>
      <x:c r="Q39" s="73" t="str"/>
      <x:c r="R39" s="73" t="str"/>
    </x:row>
    <x:row r="40" ht="54" customHeight="1">
      <x:c r="A40" s="71" t="str">
        <x:v>GLD-07</x:v>
      </x:c>
      <x:c r="B40" s="71" t="n">
        <x:v>4</x:v>
      </x:c>
      <x:c r="C40" s="71" t="str">
        <x:v>Gold &amp; Serving</x:v>
      </x:c>
      <x:c r="D40" s="71" t="str">
        <x:v>Lakehouse</x:v>
      </x:c>
      <x:c r="E40" s="71" t="str">
        <x:v>Core</x:v>
      </x:c>
      <x:c r="F40" s="71" t="str">
        <x:v>P0</x:v>
      </x:c>
      <x:c r="G40" s="72" t="str">
        <x:v>Ghi Gold bằng Iceberg và commit snapshot</x:v>
      </x:c>
      <x:c r="H40" s="72" t="str">
        <x:v>Cấu hình catalog/warehouse, chiến lược write affected partitions và ghi snapshot ID.</x:v>
      </x:c>
      <x:c r="I40" s="72" t="str">
        <x:v>Iceberg Gold tables và commit logic.</x:v>
      </x:c>
      <x:c r="J40" s="72" t="str">
        <x:v>Consumer chỉ thấy snapshot hoàn chỉnh; commit lỗi không đánh dấu run thành công.</x:v>
      </x:c>
      <x:c r="K40" s="72" t="str">
        <x:v>QRY-01, GLD-05, GLD-06</x:v>
      </x:c>
      <x:c r="L40" s="74" t="n">
        <x:v>7</x:v>
      </x:c>
      <x:c r="M40" s="72" t="str">
        <x:v>Iceberg, Spark, MinIO</x:v>
      </x:c>
      <x:c r="N40" s="73" t="str"/>
      <x:c r="O40" s="73" t="str"/>
      <x:c r="P40" s="73" t="str">
        <x:v>Backlog</x:v>
      </x:c>
      <x:c r="Q40" s="73" t="str"/>
      <x:c r="R40" s="73" t="str"/>
    </x:row>
    <x:row r="41" ht="54" customHeight="1">
      <x:c r="A41" s="71" t="str">
        <x:v>GLD-08</x:v>
      </x:c>
      <x:c r="B41" s="71" t="n">
        <x:v>4</x:v>
      </x:c>
      <x:c r="C41" s="71" t="str">
        <x:v>Gold &amp; Serving</x:v>
      </x:c>
      <x:c r="D41" s="71" t="str">
        <x:v>Serving</x:v>
      </x:c>
      <x:c r="E41" s="71" t="str">
        <x:v>Core</x:v>
      </x:c>
      <x:c r="F41" s="71" t="str">
        <x:v>P0</x:v>
      </x:c>
      <x:c r="G41" s="72" t="str">
        <x:v>Cấu hình Trino truy vấn Gold</x:v>
      </x:c>
      <x:c r="H41" s="72" t="str">
        <x:v>Hoàn thiện Iceberg catalog, schema/view cần cho Power BI và query smoke test.</x:v>
      </x:c>
      <x:c r="I41" s="72" t="str">
        <x:v>Trino catalog/view SQL và query examples.</x:v>
      </x:c>
      <x:c r="J41" s="72" t="str">
        <x:v>Trino đọc current snapshot; query count/avg/max chạy thành công.</x:v>
      </x:c>
      <x:c r="K41" s="72" t="str">
        <x:v>GLD-07</x:v>
      </x:c>
      <x:c r="L41" s="74" t="n">
        <x:v>4</x:v>
      </x:c>
      <x:c r="M41" s="72" t="str">
        <x:v>Trino, SQL, Iceberg</x:v>
      </x:c>
      <x:c r="N41" s="73" t="str"/>
      <x:c r="O41" s="73" t="str"/>
      <x:c r="P41" s="73" t="str">
        <x:v>Backlog</x:v>
      </x:c>
      <x:c r="Q41" s="73" t="str"/>
      <x:c r="R41" s="73" t="str"/>
    </x:row>
    <x:row r="42" ht="54" customHeight="1">
      <x:c r="A42" s="71" t="str">
        <x:v>GLD-09</x:v>
      </x:c>
      <x:c r="B42" s="71" t="n">
        <x:v>4</x:v>
      </x:c>
      <x:c r="C42" s="71" t="str">
        <x:v>Gold &amp; Serving</x:v>
      </x:c>
      <x:c r="D42" s="71" t="str">
        <x:v>Quality</x:v>
      </x:c>
      <x:c r="E42" s="71" t="str">
        <x:v>Core</x:v>
      </x:c>
      <x:c r="F42" s="71" t="str">
        <x:v>P0</x:v>
      </x:c>
      <x:c r="G42" s="72" t="str">
        <x:v>Verification SQL và Gold tests</x:v>
      </x:c>
      <x:c r="H42" s="72" t="str">
        <x:v>Kiểm tra uniqueness, completeness, aggregate consistency, snapshot ID và schema BI contract.</x:v>
      </x:c>
      <x:c r="I42" s="72" t="str">
        <x:v>Verification queries tích hợp vào DAG/test.</x:v>
      </x:c>
      <x:c r="J42" s="72" t="str">
        <x:v>Mọi blocker đạt trước Published; lỗi verify không kích hoạt refresh BI.</x:v>
      </x:c>
      <x:c r="K42" s="72" t="str">
        <x:v>GLD-07, GLD-08</x:v>
      </x:c>
      <x:c r="L42" s="74" t="n">
        <x:v>4</x:v>
      </x:c>
      <x:c r="M42" s="72" t="str">
        <x:v>SQL testing, data quality</x:v>
      </x:c>
      <x:c r="N42" s="73" t="str"/>
      <x:c r="O42" s="73" t="str"/>
      <x:c r="P42" s="73" t="str">
        <x:v>Backlog</x:v>
      </x:c>
      <x:c r="Q42" s="73" t="str"/>
      <x:c r="R42" s="73" t="str"/>
    </x:row>
    <x:row r="43" ht="54" customHeight="1">
      <x:c r="A43" s="71" t="str">
        <x:v>ORC-01</x:v>
      </x:c>
      <x:c r="B43" s="71" t="n">
        <x:v>5</x:v>
      </x:c>
      <x:c r="C43" s="71" t="str">
        <x:v>Orchestration &amp; BI</x:v>
      </x:c>
      <x:c r="D43" s="71" t="str">
        <x:v>Orchestration</x:v>
      </x:c>
      <x:c r="E43" s="71" t="str">
        <x:v>Core</x:v>
      </x:c>
      <x:c r="F43" s="71" t="str">
        <x:v>P0</x:v>
      </x:c>
      <x:c r="G43" s="72" t="str">
        <x:v>Hoàn thiện DAG end-to-end</x:v>
      </x:c>
      <x:c r="H43" s="72" t="str">
        <x:v>Nối Extract→Bronze→Silver→Gold→Verify, truyền run context và chặn downstream đúng cách.</x:v>
      </x:c>
      <x:c r="I43" s="72" t="str">
        <x:v>DAG chính có task groups và dependency hoàn chỉnh.</x:v>
      </x:c>
      <x:c r="J43" s="72" t="str">
        <x:v>Một daily run đi đúng luồng; task failure dừng đúng tầng.</x:v>
      </x:c>
      <x:c r="K43" s="72" t="str">
        <x:v>EXT-07, SLV-08, GLD-09</x:v>
      </x:c>
      <x:c r="L43" s="74" t="n">
        <x:v>5</x:v>
      </x:c>
      <x:c r="M43" s="72" t="str">
        <x:v>Airflow, orchestration</x:v>
      </x:c>
      <x:c r="N43" s="73" t="str"/>
      <x:c r="O43" s="73" t="str"/>
      <x:c r="P43" s="73" t="str">
        <x:v>Backlog</x:v>
      </x:c>
      <x:c r="Q43" s="73" t="str"/>
      <x:c r="R43" s="73" t="str"/>
    </x:row>
    <x:row r="44" ht="54" customHeight="1">
      <x:c r="A44" s="71" t="str">
        <x:v>ORC-02</x:v>
      </x:c>
      <x:c r="B44" s="71" t="n">
        <x:v>5</x:v>
      </x:c>
      <x:c r="C44" s="71" t="str">
        <x:v>Orchestration &amp; BI</x:v>
      </x:c>
      <x:c r="D44" s="71" t="str">
        <x:v>Observability</x:v>
      </x:c>
      <x:c r="E44" s="71" t="str">
        <x:v>Core</x:v>
      </x:c>
      <x:c r="F44" s="71" t="str">
        <x:v>P1</x:v>
      </x:c>
      <x:c r="G44" s="72" t="str">
        <x:v>Structured logging và run summary</x:v>
      </x:c>
      <x:c r="H44" s="72" t="str">
        <x:v>Chuẩn hóa log/metric cho input, valid, rejected, duplicate, inserted/updated và snapshot.</x:v>
      </x:c>
      <x:c r="I44" s="72" t="str">
        <x:v>Run summary cuối DAG và log key-value.</x:v>
      </x:c>
      <x:c r="J44" s="72" t="str">
        <x:v>Số liệu các tầng đối soát được từ một run ID; không log secret/payload lớn.</x:v>
      </x:c>
      <x:c r="K44" s="72" t="str">
        <x:v>ORC-01</x:v>
      </x:c>
      <x:c r="L44" s="74" t="n">
        <x:v>4</x:v>
      </x:c>
      <x:c r="M44" s="72" t="str">
        <x:v>Logging, metrics, Airflow</x:v>
      </x:c>
      <x:c r="N44" s="73" t="str"/>
      <x:c r="O44" s="73" t="str"/>
      <x:c r="P44" s="73" t="str">
        <x:v>Backlog</x:v>
      </x:c>
      <x:c r="Q44" s="73" t="str"/>
      <x:c r="R44" s="73" t="str"/>
    </x:row>
    <x:row r="45" ht="54" customHeight="1">
      <x:c r="A45" s="71" t="str">
        <x:v>ORC-03</x:v>
      </x:c>
      <x:c r="B45" s="71" t="n">
        <x:v>5</x:v>
      </x:c>
      <x:c r="C45" s="71" t="str">
        <x:v>Orchestration &amp; BI</x:v>
      </x:c>
      <x:c r="D45" s="71" t="str">
        <x:v>Recovery</x:v>
      </x:c>
      <x:c r="E45" s="71" t="str">
        <x:v>Core</x:v>
      </x:c>
      <x:c r="F45" s="71" t="str">
        <x:v>P0</x:v>
      </x:c>
      <x:c r="G45" s="72" t="str">
        <x:v>Implement backfill và reprocessing</x:v>
      </x:c>
      <x:c r="H45" s="72" t="str">
        <x:v>Hỗ trợ chọn khoảng UTC, tái sử dụng Bronze, giới hạn concurrency và preview phạm vi.</x:v>
      </x:c>
      <x:c r="I45" s="72" t="str">
        <x:v>Backfill workflow/parameters và hướng dẫn chạy.</x:v>
      </x:c>
      <x:c r="J45" s="72" t="str">
        <x:v>Backfill hai ngày không tạo duplicate và không sửa partition ngoài phạm vi.</x:v>
      </x:c>
      <x:c r="K45" s="72" t="str">
        <x:v>ORC-01, ORC-02</x:v>
      </x:c>
      <x:c r="L45" s="74" t="n">
        <x:v>5</x:v>
      </x:c>
      <x:c r="M45" s="72" t="str">
        <x:v>Airflow backfill, idempotency</x:v>
      </x:c>
      <x:c r="N45" s="73" t="str"/>
      <x:c r="O45" s="73" t="str"/>
      <x:c r="P45" s="73" t="str">
        <x:v>Backlog</x:v>
      </x:c>
      <x:c r="Q45" s="73" t="str"/>
      <x:c r="R45" s="73" t="str"/>
    </x:row>
    <x:row r="46" ht="54" customHeight="1">
      <x:c r="A46" s="71" t="str">
        <x:v>ORC-04</x:v>
      </x:c>
      <x:c r="B46" s="71" t="n">
        <x:v>5</x:v>
      </x:c>
      <x:c r="C46" s="71" t="str">
        <x:v>Orchestration &amp; BI</x:v>
      </x:c>
      <x:c r="D46" s="71" t="str">
        <x:v>Operations</x:v>
      </x:c>
      <x:c r="E46" s="71" t="str">
        <x:v>Core</x:v>
      </x:c>
      <x:c r="F46" s="71" t="str">
        <x:v>P1</x:v>
      </x:c>
      <x:c r="G46" s="72" t="str">
        <x:v>Chốt lịch chạy và giới hạn tài nguyên</x:v>
      </x:c>
      <x:c r="H46" s="72" t="str">
        <x:v>Cấu hình timezone, daily schedule, max active runs, Spark resources và lệch giờ BI refresh.</x:v>
      </x:c>
      <x:c r="I46" s="72" t="str">
        <x:v>Runtime profile và schedule config.</x:v>
      </x:c>
      <x:c r="J46" s="72" t="str">
        <x:v>Máy local chạy tuần tự ổn định; không trùng daily run/backfill/BI refresh.</x:v>
      </x:c>
      <x:c r="K46" s="72" t="str">
        <x:v>ORC-01</x:v>
      </x:c>
      <x:c r="L46" s="74" t="n">
        <x:v>4</x:v>
      </x:c>
      <x:c r="M46" s="72" t="str">
        <x:v>Airflow scheduling, Docker resources</x:v>
      </x:c>
      <x:c r="N46" s="73" t="str"/>
      <x:c r="O46" s="73" t="str"/>
      <x:c r="P46" s="73" t="str">
        <x:v>Backlog</x:v>
      </x:c>
      <x:c r="Q46" s="73" t="str"/>
      <x:c r="R46" s="73" t="str"/>
    </x:row>
    <x:row r="47" ht="54" customHeight="1">
      <x:c r="A47" s="71" t="str">
        <x:v>ORC-05</x:v>
      </x:c>
      <x:c r="B47" s="71" t="n">
        <x:v>5</x:v>
      </x:c>
      <x:c r="C47" s="71" t="str">
        <x:v>Orchestration &amp; BI</x:v>
      </x:c>
      <x:c r="D47" s="71" t="str">
        <x:v>Serving</x:v>
      </x:c>
      <x:c r="E47" s="71" t="str">
        <x:v>Core</x:v>
      </x:c>
      <x:c r="F47" s="71" t="str">
        <x:v>P0</x:v>
      </x:c>
      <x:c r="G47" s="72" t="str">
        <x:v>Xác nhận ODBC từ Power BI đến Trino</x:v>
      </x:c>
      <x:c r="H47" s="72" t="str">
        <x:v>Cài/cấu hình driver, DSN, authentication và chạy query nhỏ từ Power BI.</x:v>
      </x:c>
      <x:c r="I47" s="72" t="str">
        <x:v>Hướng dẫn ODBC và evidence kết nối.</x:v>
      </x:c>
      <x:c r="J47" s="72" t="str">
        <x:v>Power BI import được result set; catalog/schema/timeout được ghi rõ.</x:v>
      </x:c>
      <x:c r="K47" s="72" t="str">
        <x:v>GLD-08</x:v>
      </x:c>
      <x:c r="L47" s="74" t="n">
        <x:v>4</x:v>
      </x:c>
      <x:c r="M47" s="72" t="str">
        <x:v>ODBC, Trino, Power BI</x:v>
      </x:c>
      <x:c r="N47" s="73" t="str"/>
      <x:c r="O47" s="73" t="str"/>
      <x:c r="P47" s="73" t="str">
        <x:v>Backlog</x:v>
      </x:c>
      <x:c r="Q47" s="73" t="str"/>
      <x:c r="R47" s="73" t="str"/>
    </x:row>
    <x:row r="48" ht="54" customHeight="1">
      <x:c r="A48" s="71" t="str">
        <x:v>BI-01</x:v>
      </x:c>
      <x:c r="B48" s="71" t="n">
        <x:v>5</x:v>
      </x:c>
      <x:c r="C48" s="71" t="str">
        <x:v>Orchestration &amp; BI</x:v>
      </x:c>
      <x:c r="D48" s="71" t="str">
        <x:v>Power BI</x:v>
      </x:c>
      <x:c r="E48" s="71" t="str">
        <x:v>Core</x:v>
      </x:c>
      <x:c r="F48" s="71" t="str">
        <x:v>P0</x:v>
      </x:c>
      <x:c r="G48" s="72" t="str">
        <x:v>Tạo Power Query dataset</x:v>
      </x:c>
      <x:c r="H48" s="72" t="str">
        <x:v>Tạo các query cần thiết, typed columns và metadata refresh/snapshot.</x:v>
      </x:c>
      <x:c r="I48" s="72" t="str">
        <x:v>PBIX có query import ổn định.</x:v>
      </x:c>
      <x:c r="J48" s="72" t="str">
        <x:v>Refresh thành công; không đọc trực tiếp từng Parquet object.</x:v>
      </x:c>
      <x:c r="K48" s="72" t="str">
        <x:v>ORC-05, GLD-09</x:v>
      </x:c>
      <x:c r="L48" s="74" t="n">
        <x:v>4</x:v>
      </x:c>
      <x:c r="M48" s="72" t="str">
        <x:v>Power Query, SQL</x:v>
      </x:c>
      <x:c r="N48" s="73" t="str"/>
      <x:c r="O48" s="73" t="str"/>
      <x:c r="P48" s="73" t="str">
        <x:v>Backlog</x:v>
      </x:c>
      <x:c r="Q48" s="73" t="str"/>
      <x:c r="R48" s="73" t="str"/>
    </x:row>
    <x:row r="49" ht="54" customHeight="1">
      <x:c r="A49" s="71" t="str">
        <x:v>BI-02</x:v>
      </x:c>
      <x:c r="B49" s="71" t="n">
        <x:v>5</x:v>
      </x:c>
      <x:c r="C49" s="71" t="str">
        <x:v>Orchestration &amp; BI</x:v>
      </x:c>
      <x:c r="D49" s="71" t="str">
        <x:v>Power BI</x:v>
      </x:c>
      <x:c r="E49" s="71" t="str">
        <x:v>Core</x:v>
      </x:c>
      <x:c r="F49" s="71" t="str">
        <x:v>P0</x:v>
      </x:c>
      <x:c r="G49" s="72" t="str">
        <x:v>Tạo semantic model và KPI measures</x:v>
      </x:c>
      <x:c r="H49" s="72" t="str">
        <x:v>Tạo relationship/date table/measures Total, Avg/Max, Strong, Tsunami, Offshore và freshness.</x:v>
      </x:c>
      <x:c r="I49" s="72" t="str">
        <x:v>Semantic model và DAX measures.</x:v>
      </x:c>
      <x:c r="J49" s="72" t="str">
        <x:v>Measure khớp SQL độc lập; null magnitude không bị thay bằng 0.</x:v>
      </x:c>
      <x:c r="K49" s="72" t="str">
        <x:v>BI-01, GLD-01</x:v>
      </x:c>
      <x:c r="L49" s="74" t="n">
        <x:v>5</x:v>
      </x:c>
      <x:c r="M49" s="72" t="str">
        <x:v>Power BI modeling, DAX</x:v>
      </x:c>
      <x:c r="N49" s="73" t="str"/>
      <x:c r="O49" s="73" t="str"/>
      <x:c r="P49" s="73" t="str">
        <x:v>Backlog</x:v>
      </x:c>
      <x:c r="Q49" s="73" t="str"/>
      <x:c r="R49" s="73" t="str"/>
    </x:row>
    <x:row r="50" ht="54" customHeight="1">
      <x:c r="A50" s="71" t="str">
        <x:v>BI-03</x:v>
      </x:c>
      <x:c r="B50" s="71" t="n">
        <x:v>5</x:v>
      </x:c>
      <x:c r="C50" s="71" t="str">
        <x:v>Orchestration &amp; BI</x:v>
      </x:c>
      <x:c r="D50" s="71" t="str">
        <x:v>Power BI</x:v>
      </x:c>
      <x:c r="E50" s="71" t="str">
        <x:v>Core</x:v>
      </x:c>
      <x:c r="F50" s="71" t="str">
        <x:v>P1</x:v>
      </x:c>
      <x:c r="G50" s="72" t="str">
        <x:v>Xây trang Tổng quan</x:v>
      </x:c>
      <x:c r="H50" s="72" t="str">
        <x:v>Tạo KPI cards, time trend, magnitude distribution, top regions và notable events.</x:v>
      </x:c>
      <x:c r="I50" s="72" t="str">
        <x:v>Dashboard trang Tổng quan.</x:v>
      </x:c>
      <x:c r="J50" s="72" t="str">
        <x:v>Filter chung hoạt động; số liệu chính khớp Trino.</x:v>
      </x:c>
      <x:c r="K50" s="72" t="str">
        <x:v>BI-02</x:v>
      </x:c>
      <x:c r="L50" s="74" t="n">
        <x:v>5</x:v>
      </x:c>
      <x:c r="M50" s="72" t="str">
        <x:v>Power BI visuals, UX</x:v>
      </x:c>
      <x:c r="N50" s="73" t="str"/>
      <x:c r="O50" s="73" t="str"/>
      <x:c r="P50" s="73" t="str">
        <x:v>Backlog</x:v>
      </x:c>
      <x:c r="Q50" s="73" t="str"/>
      <x:c r="R50" s="73" t="str"/>
    </x:row>
    <x:row r="51" ht="54" customHeight="1">
      <x:c r="A51" s="71" t="str">
        <x:v>BI-04</x:v>
      </x:c>
      <x:c r="B51" s="71" t="n">
        <x:v>5</x:v>
      </x:c>
      <x:c r="C51" s="71" t="str">
        <x:v>Orchestration &amp; BI</x:v>
      </x:c>
      <x:c r="D51" s="71" t="str">
        <x:v>Power BI</x:v>
      </x:c>
      <x:c r="E51" s="71" t="str">
        <x:v>Core</x:v>
      </x:c>
      <x:c r="F51" s="71" t="str">
        <x:v>P1</x:v>
      </x:c>
      <x:c r="G51" s="72" t="str">
        <x:v>Xây trang Phân tích không gian</x:v>
      </x:c>
      <x:c r="H51" s="72" t="str">
        <x:v>Tạo map tâm chấn, region bars, Offshore/Unknown KPI và drill-through.</x:v>
      </x:c>
      <x:c r="I51" s="72" t="str">
        <x:v>Dashboard trang Không gian.</x:v>
      </x:c>
      <x:c r="J51" s="72" t="str">
        <x:v>Không dùng tọa độ giả; event ngoài khơi vẫn hiển thị hoặc được thống kê đúng.</x:v>
      </x:c>
      <x:c r="K51" s="72" t="str">
        <x:v>BI-02, GLD-03 (nếu làm Stretch)</x:v>
      </x:c>
      <x:c r="L51" s="74" t="n">
        <x:v>4</x:v>
      </x:c>
      <x:c r="M51" s="72" t="str">
        <x:v>Power BI maps, geospatial</x:v>
      </x:c>
      <x:c r="N51" s="73" t="str"/>
      <x:c r="O51" s="73" t="str"/>
      <x:c r="P51" s="73" t="str">
        <x:v>Backlog</x:v>
      </x:c>
      <x:c r="Q51" s="73" t="str"/>
      <x:c r="R51" s="73" t="str"/>
    </x:row>
    <x:row r="52" ht="54" customHeight="1">
      <x:c r="A52" s="71" t="str">
        <x:v>BI-05</x:v>
      </x:c>
      <x:c r="B52" s="71" t="n">
        <x:v>5</x:v>
      </x:c>
      <x:c r="C52" s="71" t="str">
        <x:v>Orchestration &amp; BI</x:v>
      </x:c>
      <x:c r="D52" s="71" t="str">
        <x:v>Power BI</x:v>
      </x:c>
      <x:c r="E52" s="71" t="str">
        <x:v>Core</x:v>
      </x:c>
      <x:c r="F52" s="71" t="str">
        <x:v>P1</x:v>
      </x:c>
      <x:c r="G52" s="72" t="str">
        <x:v>Xây trang Độ sâu và độ lớn</x:v>
      </x:c>
      <x:c r="H52" s="72" t="str">
        <x:v>Tạo histogram, scatter, band matrix, trend và hiển thị last refresh/snapshot.</x:v>
      </x:c>
      <x:c r="I52" s="72" t="str">
        <x:v>Dashboard trang Depth &amp; Magnitude.</x:v>
      </x:c>
      <x:c r="J52" s="72" t="str">
        <x:v>Visual có unit/tooltip; disclaimer không dự báo; refresh metadata rõ.</x:v>
      </x:c>
      <x:c r="K52" s="72" t="str">
        <x:v>BI-02</x:v>
      </x:c>
      <x:c r="L52" s="74" t="n">
        <x:v>5</x:v>
      </x:c>
      <x:c r="M52" s="72" t="str">
        <x:v>Power BI visuals, analytics</x:v>
      </x:c>
      <x:c r="N52" s="73" t="str"/>
      <x:c r="O52" s="73" t="str"/>
      <x:c r="P52" s="73" t="str">
        <x:v>Backlog</x:v>
      </x:c>
      <x:c r="Q52" s="73" t="str"/>
      <x:c r="R52" s="73" t="str"/>
    </x:row>
    <x:row r="53" ht="54" customHeight="1">
      <x:c r="A53" s="71" t="str">
        <x:v>QA-01</x:v>
      </x:c>
      <x:c r="B53" s="71" t="n">
        <x:v>6</x:v>
      </x:c>
      <x:c r="C53" s="71" t="str">
        <x:v>QA &amp; Release</x:v>
      </x:c>
      <x:c r="D53" s="71" t="str">
        <x:v>QA</x:v>
      </x:c>
      <x:c r="E53" s="71" t="str">
        <x:v>Core</x:v>
      </x:c>
      <x:c r="F53" s="71" t="str">
        <x:v>P0</x:v>
      </x:c>
      <x:c r="G53" s="72" t="str">
        <x:v>E2E happy-path test</x:v>
      </x:c>
      <x:c r="H53" s="72" t="str">
        <x:v>Chạy daily interval từ extract đến Power BI/Trino verify và lưu bằng chứng từng tầng.</x:v>
      </x:c>
      <x:c r="I53" s="72" t="str">
        <x:v>E2E test report và run IDs.</x:v>
      </x:c>
      <x:c r="J53" s="72" t="str">
        <x:v>Bronze, Silver, Gold, snapshot và KPI đều truy vết được từ một run.</x:v>
      </x:c>
      <x:c r="K53" s="72" t="str">
        <x:v>ORC-03, BI-05</x:v>
      </x:c>
      <x:c r="L53" s="74" t="n">
        <x:v>5</x:v>
      </x:c>
      <x:c r="M53" s="72" t="str">
        <x:v>E2E testing, evidence</x:v>
      </x:c>
      <x:c r="N53" s="73" t="str"/>
      <x:c r="O53" s="73" t="str"/>
      <x:c r="P53" s="73" t="str">
        <x:v>Backlog</x:v>
      </x:c>
      <x:c r="Q53" s="73" t="str"/>
      <x:c r="R53" s="73" t="str"/>
    </x:row>
    <x:row r="54" ht="54" customHeight="1">
      <x:c r="A54" s="71" t="str">
        <x:v>QA-02</x:v>
      </x:c>
      <x:c r="B54" s="71" t="n">
        <x:v>6</x:v>
      </x:c>
      <x:c r="C54" s="71" t="str">
        <x:v>QA &amp; Release</x:v>
      </x:c>
      <x:c r="D54" s="71" t="str">
        <x:v>QA</x:v>
      </x:c>
      <x:c r="E54" s="71" t="str">
        <x:v>Core</x:v>
      </x:c>
      <x:c r="F54" s="71" t="str">
        <x:v>P0</x:v>
      </x:c>
      <x:c r="G54" s="72" t="str">
        <x:v>Test rerun, duplicate và late update</x:v>
      </x:c>
      <x:c r="H54" s="72" t="str">
        <x:v>Chạy cùng input hai lần và fixture updated mới hơn; so khóa, count và KPI.</x:v>
      </x:c>
      <x:c r="I54" s="72" t="str">
        <x:v>Idempotency/late-update test report.</x:v>
      </x:c>
      <x:c r="J54" s="72" t="str">
        <x:v>Rerun không tăng duplicate; bản ghi updated mới nhất được chọn.</x:v>
      </x:c>
      <x:c r="K54" s="72" t="str">
        <x:v>QA-01</x:v>
      </x:c>
      <x:c r="L54" s="74" t="n">
        <x:v>5</x:v>
      </x:c>
      <x:c r="M54" s="72" t="str">
        <x:v>Data reconciliation, idempotency</x:v>
      </x:c>
      <x:c r="N54" s="73" t="str"/>
      <x:c r="O54" s="73" t="str"/>
      <x:c r="P54" s="73" t="str">
        <x:v>Backlog</x:v>
      </x:c>
      <x:c r="Q54" s="73" t="str"/>
      <x:c r="R54" s="73" t="str"/>
    </x:row>
    <x:row r="55" ht="54" customHeight="1">
      <x:c r="A55" s="71" t="str">
        <x:v>QA-03</x:v>
      </x:c>
      <x:c r="B55" s="71" t="n">
        <x:v>6</x:v>
      </x:c>
      <x:c r="C55" s="71" t="str">
        <x:v>QA &amp; Release</x:v>
      </x:c>
      <x:c r="D55" s="71" t="str">
        <x:v>QA</x:v>
      </x:c>
      <x:c r="E55" s="71" t="str">
        <x:v>Core</x:v>
      </x:c>
      <x:c r="F55" s="71" t="str">
        <x:v>P0</x:v>
      </x:c>
      <x:c r="G55" s="72" t="str">
        <x:v>Test backfill và failure recovery</x:v>
      </x:c>
      <x:c r="H55" s="72" t="str">
        <x:v>Mô phỏng extract fail, Silver fail, Gold fail trước commit và verify fail sau commit.</x:v>
      </x:c>
      <x:c r="I55" s="72" t="str">
        <x:v>Recovery matrix kèm bằng chứng chạy lại đúng tầng.</x:v>
      </x:c>
      <x:c r="J55" s="72" t="str">
        <x:v>Không cần xóa dữ liệu; BI không refresh khi run chưa Published.</x:v>
      </x:c>
      <x:c r="K55" s="72" t="str">
        <x:v>ORC-03, QA-01</x:v>
      </x:c>
      <x:c r="L55" s="74" t="n">
        <x:v>5</x:v>
      </x:c>
      <x:c r="M55" s="72" t="str">
        <x:v>Airflow recovery, fault testing</x:v>
      </x:c>
      <x:c r="N55" s="73" t="str"/>
      <x:c r="O55" s="73" t="str"/>
      <x:c r="P55" s="73" t="str">
        <x:v>Backlog</x:v>
      </x:c>
      <x:c r="Q55" s="73" t="str"/>
      <x:c r="R55" s="73" t="str"/>
    </x:row>
    <x:row r="56" ht="54" customHeight="1">
      <x:c r="A56" s="71" t="str">
        <x:v>QA-04</x:v>
      </x:c>
      <x:c r="B56" s="71" t="n">
        <x:v>6</x:v>
      </x:c>
      <x:c r="C56" s="71" t="str">
        <x:v>QA &amp; Release</x:v>
      </x:c>
      <x:c r="D56" s="71" t="str">
        <x:v>Quality</x:v>
      </x:c>
      <x:c r="E56" s="71" t="str">
        <x:v>Core</x:v>
      </x:c>
      <x:c r="F56" s="71" t="str">
        <x:v>P0</x:v>
      </x:c>
      <x:c r="G56" s="72" t="str">
        <x:v>Reconcile Trino và Power BI</x:v>
      </x:c>
      <x:c r="H56" s="72" t="str">
        <x:v>Đối chiếu total, avg/max, tsunami, region và filter dates giữa SQL và dashboard.</x:v>
      </x:c>
      <x:c r="I56" s="72" t="str">
        <x:v>Reconciliation checklist có kết quả.</x:v>
      </x:c>
      <x:c r="J56" s="72" t="str">
        <x:v>KPI khớp với cùng filter; chênh lệch được giải thích và sửa.</x:v>
      </x:c>
      <x:c r="K56" s="72" t="str">
        <x:v>QA-01, BI-05</x:v>
      </x:c>
      <x:c r="L56" s="74" t="n">
        <x:v>4</x:v>
      </x:c>
      <x:c r="M56" s="72" t="str">
        <x:v>SQL, Power BI validation</x:v>
      </x:c>
      <x:c r="N56" s="73" t="str"/>
      <x:c r="O56" s="73" t="str"/>
      <x:c r="P56" s="73" t="str">
        <x:v>Backlog</x:v>
      </x:c>
      <x:c r="Q56" s="73" t="str"/>
      <x:c r="R56" s="73" t="str"/>
    </x:row>
    <x:row r="57" ht="54" customHeight="1">
      <x:c r="A57" s="71" t="str">
        <x:v>QA-05</x:v>
      </x:c>
      <x:c r="B57" s="71" t="n">
        <x:v>6</x:v>
      </x:c>
      <x:c r="C57" s="71" t="str">
        <x:v>QA &amp; Release</x:v>
      </x:c>
      <x:c r="D57" s="71" t="str">
        <x:v>Performance</x:v>
      </x:c>
      <x:c r="E57" s="71" t="str">
        <x:v>Core</x:v>
      </x:c>
      <x:c r="F57" s="71" t="str">
        <x:v>P1</x:v>
      </x:c>
      <x:c r="G57" s="72" t="str">
        <x:v>Profile và tối ưu tài nguyên local</x:v>
      </x:c>
      <x:c r="H57" s="72" t="str">
        <x:v>Đo duration/memory/disk, thử data volume đại diện và điều chỉnh Spark/Compose/query.</x:v>
      </x:c>
      <x:c r="I57" s="72" t="str">
        <x:v>Resource profile và cấu hình khuyến nghị.</x:v>
      </x:c>
      <x:c r="J57" s="72" t="str">
        <x:v>Run hoàn tất trong cửa sổ demo/refresh; không OOM ở cấu hình mục tiêu.</x:v>
      </x:c>
      <x:c r="K57" s="72" t="str">
        <x:v>QA-01, ORC-04</x:v>
      </x:c>
      <x:c r="L57" s="74" t="n">
        <x:v>5</x:v>
      </x:c>
      <x:c r="M57" s="72" t="str">
        <x:v>Performance testing, Spark</x:v>
      </x:c>
      <x:c r="N57" s="73" t="str"/>
      <x:c r="O57" s="73" t="str"/>
      <x:c r="P57" s="73" t="str">
        <x:v>Backlog</x:v>
      </x:c>
      <x:c r="Q57" s="73" t="str"/>
      <x:c r="R57" s="73" t="str"/>
    </x:row>
    <x:row r="58" ht="54" customHeight="1">
      <x:c r="A58" s="71" t="str">
        <x:v>SEC-01</x:v>
      </x:c>
      <x:c r="B58" s="71" t="n">
        <x:v>6</x:v>
      </x:c>
      <x:c r="C58" s="71" t="str">
        <x:v>QA &amp; Release</x:v>
      </x:c>
      <x:c r="D58" s="71" t="str">
        <x:v>Security</x:v>
      </x:c>
      <x:c r="E58" s="71" t="str">
        <x:v>Core</x:v>
      </x:c>
      <x:c r="F58" s="71" t="str">
        <x:v>P1</x:v>
      </x:c>
      <x:c r="G58" s="72" t="str">
        <x:v>Security và secret review</x:v>
      </x:c>
      <x:c r="H58" s="72" t="str">
        <x:v>Kiểm tra env, Git history, port exposure, default credentials, logs và quyền bucket.</x:v>
      </x:c>
      <x:c r="I58" s="72" t="str">
        <x:v>Security checklist và issue fixes.</x:v>
      </x:c>
      <x:c r="J58" s="72" t="str">
        <x:v>Không có secret trong repo/log; chỉ port cần thiết được expose.</x:v>
      </x:c>
      <x:c r="K58" s="72" t="str">
        <x:v>ORC-04</x:v>
      </x:c>
      <x:c r="L58" s="74" t="n">
        <x:v>4</x:v>
      </x:c>
      <x:c r="M58" s="72" t="str">
        <x:v>Security, Docker, Git</x:v>
      </x:c>
      <x:c r="N58" s="73" t="str"/>
      <x:c r="O58" s="73" t="str"/>
      <x:c r="P58" s="73" t="str">
        <x:v>Backlog</x:v>
      </x:c>
      <x:c r="Q58" s="73" t="str"/>
      <x:c r="R58" s="73" t="str"/>
    </x:row>
    <x:row r="59" ht="54" customHeight="1">
      <x:c r="A59" s="71" t="str">
        <x:v>OPS-01</x:v>
      </x:c>
      <x:c r="B59" s="71" t="n">
        <x:v>6</x:v>
      </x:c>
      <x:c r="C59" s="71" t="str">
        <x:v>QA &amp; Release</x:v>
      </x:c>
      <x:c r="D59" s="71" t="str">
        <x:v>Operations</x:v>
      </x:c>
      <x:c r="E59" s="71" t="str">
        <x:v>Core</x:v>
      </x:c>
      <x:c r="F59" s="71" t="str">
        <x:v>P1</x:v>
      </x:c>
      <x:c r="G59" s="72" t="str">
        <x:v>Backup/restore smoke test</x:v>
      </x:c>
      <x:c r="H59" s="72" t="str">
        <x:v>Backup MinIO/catalog/Airflow metadata cần thiết và restore trên môi trường thử.</x:v>
      </x:c>
      <x:c r="I59" s="72" t="str">
        <x:v>Backup manifest và restore procedure đã thử.</x:v>
      </x:c>
      <x:c r="J59" s="72" t="str">
        <x:v>Restore đọc được Gold snapshot/query kiểm chứng; không chứa secret chia sẻ.</x:v>
      </x:c>
      <x:c r="K59" s="72" t="str">
        <x:v>GLD-09, ORC-04</x:v>
      </x:c>
      <x:c r="L59" s="74" t="n">
        <x:v>4</x:v>
      </x:c>
      <x:c r="M59" s="72" t="str">
        <x:v>Backup, MinIO, operations</x:v>
      </x:c>
      <x:c r="N59" s="73" t="str"/>
      <x:c r="O59" s="73" t="str"/>
      <x:c r="P59" s="73" t="str">
        <x:v>Backlog</x:v>
      </x:c>
      <x:c r="Q59" s="73" t="str"/>
      <x:c r="R59" s="73" t="str"/>
    </x:row>
    <x:row r="60" ht="54" customHeight="1">
      <x:c r="A60" s="71" t="str">
        <x:v>DOC-01</x:v>
      </x:c>
      <x:c r="B60" s="71" t="n">
        <x:v>6</x:v>
      </x:c>
      <x:c r="C60" s="71" t="str">
        <x:v>QA &amp; Release</x:v>
      </x:c>
      <x:c r="D60" s="71" t="str">
        <x:v>Documentation</x:v>
      </x:c>
      <x:c r="E60" s="71" t="str">
        <x:v>Core</x:v>
      </x:c>
      <x:c r="F60" s="71" t="str">
        <x:v>P0</x:v>
      </x:c>
      <x:c r="G60" s="72" t="str">
        <x:v>Cập nhật docs theo hệ thống thực tế</x:v>
      </x:c>
      <x:c r="H60" s="72" t="str">
        <x:v>Thay TBD bằng service/port/command thật; cập nhật runbook, architecture, known issues.</x:v>
      </x:c>
      <x:c r="I60" s="72" t="str">
        <x:v>Bộ docs khớp phiên bản demo.</x:v>
      </x:c>
      <x:c r="J60" s="72" t="str">
        <x:v>Thành viên mới làm theo runbook chạy được; link nội bộ không hỏng.</x:v>
      </x:c>
      <x:c r="K60" s="72" t="str">
        <x:v>QA-01, QA-03, SEC-01, OPS-01</x:v>
      </x:c>
      <x:c r="L60" s="74" t="n">
        <x:v>4</x:v>
      </x:c>
      <x:c r="M60" s="72" t="str">
        <x:v>Technical writing, operations</x:v>
      </x:c>
      <x:c r="N60" s="73" t="str"/>
      <x:c r="O60" s="73" t="str"/>
      <x:c r="P60" s="73" t="str">
        <x:v>Backlog</x:v>
      </x:c>
      <x:c r="Q60" s="73" t="str"/>
      <x:c r="R60" s="73" t="str"/>
    </x:row>
    <x:row r="61" ht="54" customHeight="1">
      <x:c r="A61" s="71" t="str">
        <x:v>DEMO-01</x:v>
      </x:c>
      <x:c r="B61" s="71" t="n">
        <x:v>6</x:v>
      </x:c>
      <x:c r="C61" s="71" t="str">
        <x:v>QA &amp; Release</x:v>
      </x:c>
      <x:c r="D61" s="71" t="str">
        <x:v>Demo</x:v>
      </x:c>
      <x:c r="E61" s="71" t="str">
        <x:v>Core</x:v>
      </x:c>
      <x:c r="F61" s="71" t="str">
        <x:v>P0</x:v>
      </x:c>
      <x:c r="G61" s="72" t="str">
        <x:v>Chuẩn bị dữ liệu và kịch bản demo</x:v>
      </x:c>
      <x:c r="H61" s="72" t="str">
        <x:v>Chọn data interval nhỏ, fixture dự phòng, SQL kiểm chứng, ảnh/log và thứ tự trình bày.</x:v>
      </x:c>
      <x:c r="I61" s="72" t="str">
        <x:v>Demo package và checklist preflight.</x:v>
      </x:c>
      <x:c r="J61" s="72" t="str">
        <x:v>Demo có fallback mạng/ODBC; mọi con số có evidence.</x:v>
      </x:c>
      <x:c r="K61" s="72" t="str">
        <x:v>QA-04, DOC-01</x:v>
      </x:c>
      <x:c r="L61" s="74" t="n">
        <x:v>4</x:v>
      </x:c>
      <x:c r="M61" s="72" t="str">
        <x:v>Demo, communication, QA</x:v>
      </x:c>
      <x:c r="N61" s="73" t="str"/>
      <x:c r="O61" s="73" t="str"/>
      <x:c r="P61" s="73" t="str">
        <x:v>Backlog</x:v>
      </x:c>
      <x:c r="Q61" s="73" t="str"/>
      <x:c r="R61" s="73" t="str"/>
    </x:row>
    <x:row r="62" ht="54" customHeight="1">
      <x:c r="A62" s="71" t="str">
        <x:v>DEMO-02</x:v>
      </x:c>
      <x:c r="B62" s="71" t="n">
        <x:v>6</x:v>
      </x:c>
      <x:c r="C62" s="71" t="str">
        <x:v>QA &amp; Release</x:v>
      </x:c>
      <x:c r="D62" s="71" t="str">
        <x:v>Release</x:v>
      </x:c>
      <x:c r="E62" s="71" t="str">
        <x:v>Core</x:v>
      </x:c>
      <x:c r="F62" s="71" t="str">
        <x:v>P0</x:v>
      </x:c>
      <x:c r="G62" s="72" t="str">
        <x:v>Rehearsal, sửa lỗi cuối và tạo release</x:v>
      </x:c>
      <x:c r="H62" s="72" t="str">
        <x:v>Chạy rehearsal 15–20 phút, sửa blocker, đóng known issues và gắn tag/commit demo.</x:v>
      </x:c>
      <x:c r="I62" s="72" t="str">
        <x:v>Release candidate, tag và biên bản rehearsal.</x:v>
      </x:c>
      <x:c r="J62" s="72" t="str">
        <x:v>Ba thành viên thực hiện được phần của mình; E2E và demo checklist đạt.</x:v>
      </x:c>
      <x:c r="K62" s="72" t="str">
        <x:v>QA-02, QA-03, QA-05, DEMO-01</x:v>
      </x:c>
      <x:c r="L62" s="74" t="n">
        <x:v>5</x:v>
      </x:c>
      <x:c r="M62" s="72" t="str">
        <x:v>Release management, presentation</x:v>
      </x:c>
      <x:c r="N62" s="73" t="str"/>
      <x:c r="O62" s="73" t="str"/>
      <x:c r="P62" s="73" t="str">
        <x:v>Backlog</x:v>
      </x:c>
      <x:c r="Q62" s="73" t="str"/>
      <x:c r="R62" s="73" t="str"/>
    </x:row>
  </x:sheetData>
  <x:conditionalFormatting sqref="P7:P62">
    <x:cfRule type="containsText" dxfId="3" priority="1" operator="containsText" text="Done"/>
    <x:cfRule type="containsText" dxfId="4" priority="2" operator="containsText" text="In Progress"/>
    <x:cfRule type="containsText" dxfId="5" priority="3" operator="containsText" text="Review"/>
    <x:cfRule type="containsText" dxfId="6" priority="4" operator="containsText" text="Blocked"/>
  </x:conditionalFormatting>
  <x:conditionalFormatting sqref="E7:E62">
    <x:cfRule type="containsText" dxfId="7" priority="5" operator="containsText" text="Stretch"/>
  </x:conditionalFormatting>
  <x:conditionalFormatting sqref="F7:F62">
    <x:cfRule type="containsText" dxfId="8" priority="6" operator="containsText" text="P0"/>
    <x:cfRule type="containsText" dxfId="9" priority="7" operator="containsText" text="P1"/>
  </x:conditionalFormatting>
  <x:conditionalFormatting sqref="O7:O62">
    <x:cfRule type="expression" dxfId="10" priority="8">
      <x:formula>AND($O7&lt;&gt;"",$O7=$N7)</x:formula>
    </x:cfRule>
  </x:conditionalFormatting>
  <x:dataValidations count="3">
    <x:dataValidation type="list" sqref="N7:N62">
      <x:formula1>'Tổng quan'!$B$7:$B$9</x:formula1>
    </x:dataValidation>
    <x:dataValidation type="list" sqref="O7:O62">
      <x:formula1>'Tổng quan'!$B$7:$B$9</x:formula1>
    </x:dataValidation>
    <x:dataValidation type="list" sqref="P7:P62">
      <x:formula1>"Backlog,Ready,In Progress,Review,Blocked,Done"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9c934360294ab5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62" hidden="0" customWidth="1"/>
    <x:col min="3" max="3" width="4" hidden="0" customWidth="1"/>
    <x:col min="4" max="4" width="24" hidden="0" customWidth="1"/>
    <x:col min="5" max="5" width="56" hidden="0" customWidth="1"/>
    <x:col min="6" max="6" width="4" hidden="0" customWidth="1"/>
  </x:cols>
  <x:sheetData>
    <x:row r="1">
      <x:c r="A1" s="65"/>
      <x:c r="B1" s="65"/>
      <x:c r="C1" s="65"/>
      <x:c r="D1" s="65"/>
      <x:c r="E1" s="65"/>
      <x:c r="F1" s="65"/>
    </x:row>
    <x:row r="2">
      <x:c r="A2" s="1" t="str">
        <x:v>Hướng dẫn pick và cập nhật task</x:v>
      </x:c>
      <x:c r="B2" s="65"/>
      <x:c r="C2" s="65"/>
      <x:c r="D2" s="65"/>
      <x:c r="E2" s="65"/>
      <x:c r="F2" s="65"/>
    </x:row>
    <x:row r="3">
      <x:c r="A3" s="3" t="str">
        <x:v>Workbook dành cho 3 thành viên trong 6 tuần. Backlog không tự gán người để nhóm chủ động pick theo kỹ năng và capacity.</x:v>
      </x:c>
      <x:c r="B3" s="3"/>
      <x:c r="C3" s="3"/>
      <x:c r="D3" s="3"/>
      <x:c r="E3" s="3"/>
      <x:c r="F3" s="3"/>
    </x:row>
    <x:row r="4">
      <x:c r="A4" s="65"/>
      <x:c r="B4" s="65"/>
      <x:c r="C4" s="65"/>
      <x:c r="D4" s="65"/>
      <x:c r="E4" s="65"/>
      <x:c r="F4" s="65"/>
    </x:row>
    <x:row r="5">
      <x:c r="A5" s="30" t="str">
        <x:v>Quy trình</x:v>
      </x:c>
      <x:c r="B5" s="30" t="str">
        <x:v>Cách thực hiện</x:v>
      </x:c>
      <x:c r="C5" s="65"/>
      <x:c r="D5" s="30" t="str">
        <x:v>Priority</x:v>
      </x:c>
      <x:c r="E5" s="30" t="str">
        <x:v>Ý nghĩa</x:v>
      </x:c>
      <x:c r="F5" s="65"/>
    </x:row>
    <x:row r="6" ht="30" customHeight="1">
      <x:c r="A6" s="81" t="str">
        <x:v>1. Khai báo thành viên</x:v>
      </x:c>
      <x:c r="B6" s="82" t="str">
        <x:v>Điền tên ở Tổng quan!B7:B9 trước khi pick.</x:v>
      </x:c>
      <x:c r="C6" s="65"/>
      <x:c r="D6" s="81" t="str">
        <x:v>P0</x:v>
      </x:c>
      <x:c r="E6" s="82" t="str">
        <x:v>Đường găng hoặc điều kiện để downstream bắt đầu.</x:v>
      </x:c>
      <x:c r="F6" s="65"/>
    </x:row>
    <x:row r="7" ht="30" customHeight="1">
      <x:c r="A7" s="83" t="str">
        <x:v>2. Chọn task</x:v>
      </x:c>
      <x:c r="B7" s="84" t="str">
        <x:v>Chọn Assignee từ dropdown; ưu tiên P0, dependency đã sẵn sàng và tải mỗi tuần cân bằng.</x:v>
      </x:c>
      <x:c r="C7" s="65"/>
      <x:c r="D7" s="83" t="str">
        <x:v>P1</x:v>
      </x:c>
      <x:c r="E7" s="84" t="str">
        <x:v>Quan trọng cho chất lượng, vận hành hoặc trải nghiệm.</x:v>
      </x:c>
      <x:c r="F7" s="65"/>
    </x:row>
    <x:row r="8" ht="30" customHeight="1">
      <x:c r="A8" s="83" t="str">
        <x:v>3. Chọn reviewer</x:v>
      </x:c>
      <x:c r="B8" s="84" t="str">
        <x:v>Reviewer phải khác Assignee; ưu tiên người hiểu stream liền kề.</x:v>
      </x:c>
      <x:c r="C8" s="65"/>
      <x:c r="D8" s="85" t="str">
        <x:v>P2</x:v>
      </x:c>
      <x:c r="E8" s="86" t="str">
        <x:v>Có thể hoãn nếu P0/P1 trễ; thường là Stretch.</x:v>
      </x:c>
      <x:c r="F8" s="65"/>
    </x:row>
    <x:row r="9" ht="30" customHeight="1">
      <x:c r="A9" s="83" t="str">
        <x:v>4. Bắt đầu</x:v>
      </x:c>
      <x:c r="B9" s="84" t="str">
        <x:v>Chuyển Status sang In Progress và tạo branch theo Task ID.</x:v>
      </x:c>
      <x:c r="C9" s="65"/>
      <x:c r="D9" s="65"/>
      <x:c r="E9" s="65"/>
      <x:c r="F9" s="65"/>
    </x:row>
    <x:row r="10" ht="30" customHeight="1">
      <x:c r="A10" s="83" t="str">
        <x:v>5. Mở PR</x:v>
      </x:c>
      <x:c r="B10" s="84" t="str">
        <x:v>Chuyển Status sang Review, điền link PR/evidence và kiểm tra acceptance criteria.</x:v>
      </x:c>
      <x:c r="C10" s="65"/>
      <x:c r="D10" s="30" t="str">
        <x:v>Scope</x:v>
      </x:c>
      <x:c r="E10" s="30" t="str">
        <x:v>Ý nghĩa</x:v>
      </x:c>
      <x:c r="F10" s="65"/>
    </x:row>
    <x:row r="11" ht="30" customHeight="1">
      <x:c r="A11" s="83" t="str">
        <x:v>6. Hoàn thành</x:v>
      </x:c>
      <x:c r="B11" s="84" t="str">
        <x:v>Chỉ chuyển Done sau review, test và cập nhật docs/contract liên quan.</x:v>
      </x:c>
      <x:c r="C11" s="65"/>
      <x:c r="D11" s="81" t="str">
        <x:v>Core</x:v>
      </x:c>
      <x:c r="E11" s="82" t="str">
        <x:v>Cần hoàn thành để đạt phiên bản đầu tiên.</x:v>
      </x:c>
      <x:c r="F11" s="65"/>
    </x:row>
    <x:row r="12" ht="30" customHeight="1">
      <x:c r="A12" s="85" t="str">
        <x:v>7. Review hằng tuần</x:v>
      </x:c>
      <x:c r="B12" s="86" t="str">
        <x:v>Cuối tuần đối chiếu exit criteria, effort còn lại, blocker và task chưa pick.</x:v>
      </x:c>
      <x:c r="C12" s="65"/>
      <x:c r="D12" s="85" t="str">
        <x:v>Stretch</x:v>
      </x:c>
      <x:c r="E12" s="86" t="str">
        <x:v>Chỉ làm sau khi dependency Core ổn định.</x:v>
      </x:c>
      <x:c r="F12" s="65"/>
    </x:row>
    <x:row r="13" ht="30" customHeight="1">
      <x:c r="A13" s="65"/>
      <x:c r="B13" s="65"/>
      <x:c r="C13" s="65"/>
      <x:c r="D13" s="65"/>
      <x:c r="E13" s="65"/>
      <x:c r="F13" s="65"/>
    </x:row>
    <x:row r="14" ht="30" customHeight="1">
      <x:c r="A14" s="65"/>
      <x:c r="B14" s="65"/>
      <x:c r="C14" s="65"/>
      <x:c r="D14" s="65"/>
      <x:c r="E14" s="65"/>
      <x:c r="F14" s="65"/>
    </x:row>
    <x:row r="15" ht="30" customHeight="1">
      <x:c r="A15" s="30" t="str">
        <x:v>Status</x:v>
      </x:c>
      <x:c r="B15" s="30" t="str">
        <x:v>Điều kiện sử dụng</x:v>
      </x:c>
      <x:c r="C15" s="65"/>
      <x:c r="D15" s="30" t="str">
        <x:v>Definition of Done</x:v>
      </x:c>
      <x:c r="E15" s="30" t="str">
        <x:v>Yêu cầu</x:v>
      </x:c>
      <x:c r="F15" s="65"/>
    </x:row>
    <x:row r="16" ht="30" customHeight="1">
      <x:c r="A16" s="81" t="str">
        <x:v>Backlog</x:v>
      </x:c>
      <x:c r="B16" s="82" t="str">
        <x:v>Chưa sẵn sàng hoặc chưa được pick.</x:v>
      </x:c>
      <x:c r="C16" s="65"/>
      <x:c r="D16" s="81" t="str">
        <x:v>Deliverable</x:v>
      </x:c>
      <x:c r="E16" s="82" t="str">
        <x:v>Có trong repository hoặc môi trường demo và truy vết được bằng Task ID.</x:v>
      </x:c>
      <x:c r="F16" s="65"/>
    </x:row>
    <x:row r="17" ht="30" customHeight="1">
      <x:c r="A17" s="83" t="str">
        <x:v>Ready</x:v>
      </x:c>
      <x:c r="B17" s="84" t="str">
        <x:v>Dependency đã đạt và có thể bắt đầu.</x:v>
      </x:c>
      <x:c r="C17" s="65"/>
      <x:c r="D17" s="83" t="str">
        <x:v>Acceptance</x:v>
      </x:c>
      <x:c r="E17" s="84" t="str">
        <x:v>Mọi tiêu chí hoàn thành của task đã được kiểm tra.</x:v>
      </x:c>
      <x:c r="F17" s="65"/>
    </x:row>
    <x:row r="18" ht="30" customHeight="1">
      <x:c r="A18" s="83" t="str">
        <x:v>In Progress</x:v>
      </x:c>
      <x:c r="B18" s="84" t="str">
        <x:v>Assignee đang thực hiện.</x:v>
      </x:c>
      <x:c r="C18" s="65"/>
      <x:c r="D18" s="83" t="str">
        <x:v>Tests</x:v>
      </x:c>
      <x:c r="E18" s="84" t="str">
        <x:v>Test tự động đạt hoặc có bằng chứng kiểm thử thủ công phù hợp.</x:v>
      </x:c>
      <x:c r="F18" s="65"/>
    </x:row>
    <x:row r="19" ht="30" customHeight="1">
      <x:c r="A19" s="83" t="str">
        <x:v>Review</x:v>
      </x:c>
      <x:c r="B19" s="84" t="str">
        <x:v>Đã có deliverable/PR và đang chờ kiểm tra.</x:v>
      </x:c>
      <x:c r="C19" s="65"/>
      <x:c r="D19" s="83" t="str">
        <x:v>Review</x:v>
      </x:c>
      <x:c r="E19" s="84" t="str">
        <x:v>P0/P1 có reviewer khác assignee xác nhận.</x:v>
      </x:c>
      <x:c r="F19" s="65"/>
    </x:row>
    <x:row r="20" ht="30" customHeight="1">
      <x:c r="A20" s="83" t="str">
        <x:v>Blocked</x:v>
      </x:c>
      <x:c r="B20" s="84" t="str">
        <x:v>Không thể tiếp tục; ghi blocker và người cần hỗ trợ trong Ghi chú.</x:v>
      </x:c>
      <x:c r="C20" s="65"/>
      <x:c r="D20" s="83" t="str">
        <x:v>Security</x:v>
      </x:c>
      <x:c r="E20" s="84" t="str">
        <x:v>Không có secret, dữ liệu nhạy cảm hoặc artifact không cần thiết.</x:v>
      </x:c>
      <x:c r="F20" s="65"/>
    </x:row>
    <x:row r="21" ht="30" customHeight="1">
      <x:c r="A21" s="85" t="str">
        <x:v>Done</x:v>
      </x:c>
      <x:c r="B21" s="86" t="str">
        <x:v>Đạt acceptance criteria, test và review.</x:v>
      </x:c>
      <x:c r="C21" s="65"/>
      <x:c r="D21" s="85" t="str">
        <x:v>Documentation</x:v>
      </x:c>
      <x:c r="E21" s="86" t="str">
        <x:v>Docs/contract/config được cập nhật nếu hành vi thay đổi.</x:v>
      </x:c>
      <x:c r="F21" s="65"/>
    </x:row>
    <x:row r="22" ht="30" customHeight="1">
      <x:c r="A22" s="65"/>
      <x:c r="B22" s="65"/>
      <x:c r="C22" s="65"/>
      <x:c r="D22" s="65"/>
      <x:c r="E22" s="65"/>
      <x:c r="F22" s="65"/>
    </x:row>
    <x:row r="23" ht="30" customHeight="1">
      <x:c r="A23" s="65"/>
      <x:c r="B23" s="65"/>
      <x:c r="C23" s="65"/>
      <x:c r="D23" s="65"/>
      <x:c r="E23" s="65"/>
      <x:c r="F23" s="65"/>
    </x:row>
    <x:row r="24" ht="28" customHeight="1">
      <x:c r="A24" s="30" t="str">
        <x:v>Tuần</x:v>
      </x:c>
      <x:c r="B24" s="30" t="str">
        <x:v>Mục tiêu</x:v>
      </x:c>
      <x:c r="C24" s="65"/>
      <x:c r="D24" s="30" t="str">
        <x:v>Effort</x:v>
      </x:c>
      <x:c r="E24" s="30" t="str">
        <x:v>Exit criteria</x:v>
      </x:c>
      <x:c r="F24" s="65"/>
    </x:row>
    <x:row r="25" ht="36" customHeight="1">
      <x:c r="A25" s="81" t="n">
        <x:v>1</x:v>
      </x:c>
      <x:c r="B25" s="82" t="str">
        <x:v>Foundation và môi trường local</x:v>
      </x:c>
      <x:c r="C25" s="65"/>
      <x:c r="D25" s="87" t="n">
        <x:v>45</x:v>
      </x:c>
      <x:c r="E25" s="82" t="str">
        <x:v>Service nền chạy, health check đạt và có smoke checklist.</x:v>
      </x:c>
      <x:c r="F25" s="65"/>
    </x:row>
    <x:row r="26" ht="36" customHeight="1">
      <x:c r="A26" s="83" t="n">
        <x:v>2</x:v>
      </x:c>
      <x:c r="B26" s="84" t="str">
        <x:v>Extract và Bronze</x:v>
      </x:c>
      <x:c r="C26" s="65"/>
      <x:c r="D26" s="88" t="n">
        <x:v>45</x:v>
      </x:c>
      <x:c r="E26" s="84" t="str">
        <x:v>USGS GeoJSON được lưu cùng metadata/checksum.</x:v>
      </x:c>
      <x:c r="F26" s="65"/>
    </x:row>
    <x:row r="27" ht="36" customHeight="1">
      <x:c r="A27" s="83" t="n">
        <x:v>3</x:v>
      </x:c>
      <x:c r="B27" s="84" t="str">
        <x:v>Silver pipeline</x:v>
      </x:c>
      <x:c r="C27" s="65"/>
      <x:c r="D27" s="88" t="n">
        <x:v>45</x:v>
      </x:c>
      <x:c r="E27" s="84" t="str">
        <x:v>Parse, normalize, validate, dedup và publish Parquet.</x:v>
      </x:c>
      <x:c r="F27" s="65"/>
    </x:row>
    <x:row r="28" ht="36" customHeight="1">
      <x:c r="A28" s="83" t="n">
        <x:v>4</x:v>
      </x:c>
      <x:c r="B28" s="84" t="str">
        <x:v>Gold, Iceberg và Trino</x:v>
      </x:c>
      <x:c r="C28" s="65"/>
      <x:c r="D28" s="88" t="n">
        <x:v>45</x:v>
      </x:c>
      <x:c r="E28" s="84" t="str">
        <x:v>Gold snapshot commit và verify được bằng Trino.</x:v>
      </x:c>
      <x:c r="F28" s="65"/>
    </x:row>
    <x:row r="29" ht="36" customHeight="1">
      <x:c r="A29" s="83" t="n">
        <x:v>5</x:v>
      </x:c>
      <x:c r="B29" s="84" t="str">
        <x:v>Orchestration và Power BI</x:v>
      </x:c>
      <x:c r="C29" s="65"/>
      <x:c r="D29" s="88" t="n">
        <x:v>45</x:v>
      </x:c>
      <x:c r="E29" s="84" t="str">
        <x:v>DAG retry/backfill và ba trang dashboard hoạt động.</x:v>
      </x:c>
      <x:c r="F29" s="65"/>
    </x:row>
    <x:row r="30" ht="36" customHeight="1">
      <x:c r="A30" s="85" t="n">
        <x:v>6</x:v>
      </x:c>
      <x:c r="B30" s="86" t="str">
        <x:v>QA, vận hành và demo</x:v>
      </x:c>
      <x:c r="C30" s="65"/>
      <x:c r="D30" s="89" t="n">
        <x:v>45</x:v>
      </x:c>
      <x:c r="E30" s="86" t="str">
        <x:v>E2E/rerun/reconciliation/runbook/demo được xác nhận.</x:v>
      </x:c>
      <x:c r="F30" s="65"/>
    </x:row>
    <x:row r="31" ht="30" customHeight="1">
      <x:c r="A31" s="65"/>
      <x:c r="B31" s="65"/>
      <x:c r="C31" s="65"/>
      <x:c r="D31" s="65"/>
      <x:c r="E31" s="65"/>
      <x:c r="F31" s="65"/>
    </x:row>
    <x:row r="32" ht="30" customHeight="1">
      <x:c r="A32" s="65"/>
      <x:c r="B32" s="65"/>
      <x:c r="C32" s="65"/>
      <x:c r="D32" s="65"/>
      <x:c r="E32" s="65"/>
      <x:c r="F32" s="65"/>
    </x:row>
    <x:row r="33" ht="30" customHeight="1">
      <x:c r="A33" s="30" t="str">
        <x:v>Nguồn nội bộ</x:v>
      </x:c>
      <x:c r="B33" s="30" t="str">
        <x:v>Đường dẫn</x:v>
      </x:c>
      <x:c r="C33" s="65"/>
      <x:c r="D33" s="65"/>
      <x:c r="E33" s="65"/>
      <x:c r="F33" s="65"/>
    </x:row>
    <x:row r="34" ht="30" customHeight="1">
      <x:c r="A34" s="81" t="str">
        <x:v>Đặc tả dự án</x:v>
      </x:c>
      <x:c r="B34" s="82" t="str">
        <x:v>docs/specs/PROJECT_SPECIFICATION.md</x:v>
      </x:c>
      <x:c r="C34" s="65"/>
      <x:c r="D34" s="65"/>
      <x:c r="E34" s="65"/>
      <x:c r="F34" s="65"/>
    </x:row>
    <x:row r="35" ht="30" customHeight="1">
      <x:c r="A35" s="83" t="str">
        <x:v>Kiến trúc</x:v>
      </x:c>
      <x:c r="B35" s="84" t="str">
        <x:v>docs/SYSTEM_ARCHITECTURE.md</x:v>
      </x:c>
      <x:c r="C35" s="65"/>
      <x:c r="D35" s="65"/>
      <x:c r="E35" s="65"/>
      <x:c r="F35" s="65"/>
    </x:row>
    <x:row r="36" ht="30" customHeight="1">
      <x:c r="A36" s="83" t="str">
        <x:v>Luồng ETL</x:v>
      </x:c>
      <x:c r="B36" s="84" t="str">
        <x:v>docs/flows/DAILY_ETL_PIPELINE.md</x:v>
      </x:c>
      <x:c r="C36" s="65"/>
      <x:c r="D36" s="65"/>
      <x:c r="E36" s="65"/>
      <x:c r="F36" s="65"/>
    </x:row>
    <x:row r="37" ht="30" customHeight="1">
      <x:c r="A37" s="83" t="str">
        <x:v>Chất lượng dữ liệu</x:v>
      </x:c>
      <x:c r="B37" s="84" t="str">
        <x:v>docs/DATA_QUALITY_AND_OBSERVABILITY.md</x:v>
      </x:c>
      <x:c r="C37" s="65"/>
      <x:c r="D37" s="65"/>
      <x:c r="E37" s="65"/>
      <x:c r="F37" s="65"/>
    </x:row>
    <x:row r="38" ht="30" customHeight="1">
      <x:c r="A38" s="85" t="str">
        <x:v>Dashboard</x:v>
      </x:c>
      <x:c r="B38" s="86" t="str">
        <x:v>docs/ANALYTICS_DASHBOARD.md</x:v>
      </x:c>
      <x:c r="C38" s="65"/>
      <x:c r="D38" s="65"/>
      <x:c r="E38" s="65"/>
      <x:c r="F38" s="65"/>
    </x:row>
  </x:sheetData>
  <x:pageMargins left="0.7" right="0.7" top="0.75" bottom="0.75" header="0.3" footer="0.3"/>
</x:worksheet>
</file>