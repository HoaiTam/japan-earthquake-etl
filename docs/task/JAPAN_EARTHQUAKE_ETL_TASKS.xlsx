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/>
  <mc:AlternateContent xmlns:mc="http://schemas.openxmlformats.org/markup-compatibility/2006">
    <mc:Choice Requires="x15">
      <x15ac:absPath xmlns:x15ac="http://schemas.microsoft.com/office/spreadsheetml/2010/11/ac" url="/Users/hoaitam/Desktop/Learn/23521394/HK1-Nam-4/IE212/japan-earthquake-etl/docs/task/"/>
    </mc:Choice>
  </mc:AlternateContent>
  <xr:revisionPtr revIDLastSave="0" documentId="13_ncr:1_{9B87529A-2A6C-3E42-9935-0A15E5192906}" xr6:coauthVersionLast="47" xr6:coauthVersionMax="47" xr10:uidLastSave="{00000000-0000-0000-0000-000000000000}"/>
  <bookViews>
    <workbookView xWindow="0" yWindow="600" windowWidth="28800" windowHeight="16180" xr2:uid="{00000000-000D-0000-FFFF-FFFF00000000}"/>
  </bookViews>
  <sheets>
    <sheet name="Tổng quan" sheetId="1" r:id="rId1"/>
    <sheet name="Backlog" sheetId="2" r:id="rId2"/>
    <sheet name="Hướng dẫn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" i="1" l="1"/>
  <c r="A17" i="1"/>
  <c r="A18" i="1"/>
  <c r="F18" i="1" s="1"/>
  <c r="H28" i="1"/>
  <c r="I28" i="1" s="1"/>
  <c r="C28" i="1"/>
  <c r="H27" i="1"/>
  <c r="I27" i="1" s="1"/>
  <c r="C27" i="1"/>
  <c r="I26" i="1"/>
  <c r="H26" i="1"/>
  <c r="C26" i="1"/>
  <c r="H25" i="1"/>
  <c r="I25" i="1" s="1"/>
  <c r="C25" i="1"/>
  <c r="I24" i="1"/>
  <c r="H24" i="1"/>
  <c r="C24" i="1"/>
  <c r="H23" i="1"/>
  <c r="I23" i="1" s="1"/>
  <c r="C23" i="1"/>
  <c r="G22" i="1"/>
  <c r="G26" i="1" s="1"/>
  <c r="F22" i="1"/>
  <c r="F25" i="1" s="1"/>
  <c r="E22" i="1"/>
  <c r="E24" i="1" s="1"/>
  <c r="D18" i="1"/>
  <c r="D17" i="1"/>
  <c r="G17" i="1"/>
  <c r="G16" i="1"/>
  <c r="F16" i="1"/>
  <c r="D16" i="1"/>
  <c r="C16" i="1"/>
  <c r="H16" i="1" s="1"/>
  <c r="B16" i="1"/>
  <c r="G12" i="1"/>
  <c r="E12" i="1"/>
  <c r="C12" i="1"/>
  <c r="I12" i="1" s="1"/>
  <c r="A12" i="1"/>
  <c r="E8" i="1"/>
  <c r="E7" i="1"/>
  <c r="E6" i="1"/>
  <c r="E5" i="1"/>
  <c r="G23" i="1" l="1"/>
  <c r="G24" i="1"/>
  <c r="F23" i="1"/>
  <c r="B17" i="1"/>
  <c r="I16" i="1"/>
  <c r="G18" i="1"/>
  <c r="E23" i="1"/>
  <c r="D23" i="1" s="1"/>
  <c r="F24" i="1"/>
  <c r="D24" i="1" s="1"/>
  <c r="G25" i="1"/>
  <c r="C17" i="1"/>
  <c r="B18" i="1"/>
  <c r="E28" i="1"/>
  <c r="D28" i="1" s="1"/>
  <c r="E16" i="1"/>
  <c r="C18" i="1"/>
  <c r="E27" i="1"/>
  <c r="D27" i="1" s="1"/>
  <c r="F28" i="1"/>
  <c r="E26" i="1"/>
  <c r="D26" i="1" s="1"/>
  <c r="F27" i="1"/>
  <c r="G28" i="1"/>
  <c r="F17" i="1"/>
  <c r="E25" i="1"/>
  <c r="D25" i="1" s="1"/>
  <c r="F26" i="1"/>
  <c r="G27" i="1"/>
  <c r="E17" i="1" l="1"/>
  <c r="I17" i="1"/>
  <c r="H17" i="1"/>
  <c r="E18" i="1"/>
  <c r="H18" i="1"/>
  <c r="I18" i="1"/>
</calcChain>
</file>

<file path=xl/sharedStrings.xml><?xml version="1.0" encoding="utf-8"?>
<sst xmlns="http://schemas.openxmlformats.org/spreadsheetml/2006/main" count="824" uniqueCount="536">
  <si>
    <t>Japan Earthquake ETL - Kế hoạch task 6 tuần</t>
  </si>
  <si>
    <t>Điền tên thành viên và ngày bắt đầu, sau đó pick Assignee/Reviewer trong sheet Backlog.</t>
  </si>
  <si>
    <t>Ngày bắt đầu</t>
  </si>
  <si>
    <t>Core effort</t>
  </si>
  <si>
    <t>Giờ/người/tuần</t>
  </si>
  <si>
    <t>Stretch effort</t>
  </si>
  <si>
    <t>Capacity cả nhóm</t>
  </si>
  <si>
    <t>Mục tiêu mỗi người</t>
  </si>
  <si>
    <t>Nguyên tắc cân bằng</t>
  </si>
  <si>
    <t>Tổng giờ mỗi người nên lệch mục tiêu không quá 10 giờ.</t>
  </si>
  <si>
    <t>Tổng task</t>
  </si>
  <si>
    <t>Tổng effort</t>
  </si>
  <si>
    <t>Chưa pick</t>
  </si>
  <si>
    <t>Task Done</t>
  </si>
  <si>
    <t>Tiến độ theo giờ</t>
  </si>
  <si>
    <t>Thành viên</t>
  </si>
  <si>
    <t>Task đã pick</t>
  </si>
  <si>
    <t>Effort đã pick</t>
  </si>
  <si>
    <t>Mục tiêu</t>
  </si>
  <si>
    <t>Lệch mục tiêu</t>
  </si>
  <si>
    <t>Giờ Done</t>
  </si>
  <si>
    <t>Tiến độ</t>
  </si>
  <si>
    <t>Giờ còn lại</t>
  </si>
  <si>
    <t>Tuần</t>
  </si>
  <si>
    <t>Bắt đầu</t>
  </si>
  <si>
    <t>Kết thúc</t>
  </si>
  <si>
    <t>Foundation và môi trường local</t>
  </si>
  <si>
    <t>Extract USGS và Bronze</t>
  </si>
  <si>
    <t>Silver parse, quality và dedup</t>
  </si>
  <si>
    <t>Gold Iceberg và Trino</t>
  </si>
  <si>
    <t>Orchestration hoàn chỉnh và Power BI</t>
  </si>
  <si>
    <t>QA, vận hành và demo</t>
  </si>
  <si>
    <t>Backlog triển khai 6 tuần</t>
  </si>
  <si>
    <t>Ô màu vàng là phần nhóm cập nhật. Pick một Assignee chính và một Reviewer khác người; ưu tiên P0 trước P1/P2.</t>
  </si>
  <si>
    <t>Task ID</t>
  </si>
  <si>
    <t>Giai đoạn</t>
  </si>
  <si>
    <t>Workstream</t>
  </si>
  <si>
    <t>Scope</t>
  </si>
  <si>
    <t>Priority</t>
  </si>
  <si>
    <t>Task</t>
  </si>
  <si>
    <t>Mô tả</t>
  </si>
  <si>
    <t>Deliverable</t>
  </si>
  <si>
    <t>Tiêu chí hoàn thành</t>
  </si>
  <si>
    <t>Dependency</t>
  </si>
  <si>
    <t>Effort (h)</t>
  </si>
  <si>
    <t>Kỹ năng</t>
  </si>
  <si>
    <t>Assignee</t>
  </si>
  <si>
    <t>Reviewer</t>
  </si>
  <si>
    <t>Status</t>
  </si>
  <si>
    <t>Evidence / PR</t>
  </si>
  <si>
    <t>Ghi chú</t>
  </si>
  <si>
    <t>PLN-01</t>
  </si>
  <si>
    <t>Foundation</t>
  </si>
  <si>
    <t>Planning</t>
  </si>
  <si>
    <t>Core</t>
  </si>
  <si>
    <t>P0</t>
  </si>
  <si>
    <t>Chốt scope, KPI và Definition of Done</t>
  </si>
  <si>
    <t>Rà tài liệu hiện tại, chốt phạm vi MVP, phần Stretch, KPI và tiêu chí bàn giao.</t>
  </si>
  <si>
    <t>Biên bản scope và checklist DoD được cập nhật trong docs.</t>
  </si>
  <si>
    <t>Ba thành viên thống nhất phạm vi; không còn yêu cầu mơ hồ trên đường găng.</t>
  </si>
  <si>
    <t>-</t>
  </si>
  <si>
    <t>Phân tích yêu cầu, tài liệu</t>
  </si>
  <si>
    <t>In Progress</t>
  </si>
  <si>
    <t>Branch: docs/pln-01-scope-kpi-dod</t>
  </si>
  <si>
    <t>Chờ ba thành viên xác nhận baseline và reviewer trước khi chuyển Done.</t>
  </si>
  <si>
    <t>REP-01</t>
  </si>
  <si>
    <t>Repository</t>
  </si>
  <si>
    <t>Scaffold cấu trúc repository</t>
  </si>
  <si>
    <t>Tạo cấu trúc module cho Airflow, Spark Java, Trino config, Compose, tests và scripts.</t>
  </si>
  <si>
    <t>Cấu trúc thư mục ban đầu và README chạy local.</t>
  </si>
  <si>
    <t>Repository có cấu trúc rõ; build placeholder và đường dẫn mount không xung đột.</t>
  </si>
  <si>
    <t>Git, Maven, cấu trúc dự án</t>
  </si>
  <si>
    <t>Backlog</t>
  </si>
  <si>
    <t>CFG-01</t>
  </si>
  <si>
    <t>Configuration</t>
  </si>
  <si>
    <t>Thiết lập cấu hình và secret hygiene</t>
  </si>
  <si>
    <t>Tạo .gitignore, .env.example, quy ước biến môi trường và kiểm tra không commit secret.</t>
  </si>
  <si>
    <t>.gitignore, .env.example và bảng biến cấu hình.</t>
  </si>
  <si>
    <t>Clone mới có thể tạo .env; secret thật không xuất hiện trong Git.</t>
  </si>
  <si>
    <t>Git, bảo mật cấu hình</t>
  </si>
  <si>
    <t>CMP-01</t>
  </si>
  <si>
    <t>Platform</t>
  </si>
  <si>
    <t>Tạo Docker Compose network và volumes</t>
  </si>
  <si>
    <t>Khai báo network, named volumes, resource baseline và dependency khởi động.</t>
  </si>
  <si>
    <t>compose.yaml baseline có network/volumes dùng chung.</t>
  </si>
  <si>
    <t>docker compose config hợp lệ; volume bền vững và staging volume được phân biệt.</t>
  </si>
  <si>
    <t>REP-01, CFG-01</t>
  </si>
  <si>
    <t>Docker Compose</t>
  </si>
  <si>
    <t>MIO-01</t>
  </si>
  <si>
    <t>Storage</t>
  </si>
  <si>
    <t>Cấu hình MinIO và bucket init</t>
  </si>
  <si>
    <t>Thêm MinIO, health check và init service tạo bucket/prefix logic.</t>
  </si>
  <si>
    <t>MinIO service, init script/config và bucket kiểm thử.</t>
  </si>
  <si>
    <t>Khởi động mới tạo đúng bucket; ghi/đọc object smoke test thành công.</t>
  </si>
  <si>
    <t>MinIO, S3 API, Docker</t>
  </si>
  <si>
    <t>AFL-01</t>
  </si>
  <si>
    <t>Orchestration</t>
  </si>
  <si>
    <t>Cấu hình Airflow local</t>
  </si>
  <si>
    <t>Thêm metadata DB, init, scheduler và UI/API service theo phiên bản đã chọn.</t>
  </si>
  <si>
    <t>Airflow services và một DAG smoke test.</t>
  </si>
  <si>
    <t>Scheduler hoạt động; DAG smoke xuất hiện và chạy thành công.</t>
  </si>
  <si>
    <t>CMP-01, CFG-01</t>
  </si>
  <si>
    <t>Airflow, Docker</t>
  </si>
  <si>
    <t>SPK-01</t>
  </si>
  <si>
    <t>Compute</t>
  </si>
  <si>
    <t>Cấu hình Spark standalone và Java build</t>
  </si>
  <si>
    <t>Thêm Spark master/worker/client, Maven wrapper và job Hello World.</t>
  </si>
  <si>
    <t>Spark services, pom.xml và JAR smoke test.</t>
  </si>
  <si>
    <t>spark-submit chạy trên worker và trả exit code 0.</t>
  </si>
  <si>
    <t>CMP-01, REP-01</t>
  </si>
  <si>
    <t>Spark, Java, Maven, Docker</t>
  </si>
  <si>
    <t>QRY-01</t>
  </si>
  <si>
    <t>Serving</t>
  </si>
  <si>
    <t>P1</t>
  </si>
  <si>
    <t>Cấu hình Iceberg REST Catalog và Trino</t>
  </si>
  <si>
    <t>Khởi động Catalog/Trino, khai báo warehouse MinIO và kiểm tra kết nối nền.</t>
  </si>
  <si>
    <t>Catalog và Trino services với catalog config ban đầu.</t>
  </si>
  <si>
    <t>Trino khởi động, nhìn thấy catalog/schema kiểm thử và không lộ credential.</t>
  </si>
  <si>
    <t>MIO-01, SPK-01</t>
  </si>
  <si>
    <t>Iceberg, Trino, MinIO</t>
  </si>
  <si>
    <t>FND-01</t>
  </si>
  <si>
    <t>QA</t>
  </si>
  <si>
    <t>Tạo smoke checklist cho môi trường</t>
  </si>
  <si>
    <t>Viết script/checklist kiểm tra service health, network, volume và log khởi động.</t>
  </si>
  <si>
    <t>Smoke checklist và bằng chứng chạy trên máy local.</t>
  </si>
  <si>
    <t>Tất cả service bắt buộc đạt; lỗi phổ biến có hướng xử lý ngắn.</t>
  </si>
  <si>
    <t>MIO-01, AFL-01, SPK-01, QRY-01</t>
  </si>
  <si>
    <t>QA, Docker, tài liệu</t>
  </si>
  <si>
    <t>EXT-01</t>
  </si>
  <si>
    <t>Extract &amp; Bronze</t>
  </si>
  <si>
    <t>Extraction</t>
  </si>
  <si>
    <t>Đặc tả USGS request và cửa sổ UTC</t>
  </si>
  <si>
    <t>Xác nhận endpoint, tham số thời gian, vùng Nhật Bản, overlap window và response tối thiểu.</t>
  </si>
  <si>
    <t>Source contract và fixture response đại diện.</t>
  </si>
  <si>
    <t>Request dùng [start,end) UTC; phân biệt response rỗng hợp lệ và lỗi.</t>
  </si>
  <si>
    <t>USGS API, contract testing</t>
  </si>
  <si>
    <t>EXT-02</t>
  </si>
  <si>
    <t>Tạo pipeline configuration model</t>
  </si>
  <si>
    <t>Đọc timezone, schedule, overlap days, bounding box và endpoint từ biến môi trường/config.</t>
  </si>
  <si>
    <t>Config class/file có validation.</t>
  </si>
  <si>
    <t>Thiếu/sai config dừng sớm với thông báo rõ; không hard-code secret.</t>
  </si>
  <si>
    <t>CFG-01, EXT-01</t>
  </si>
  <si>
    <t>Java config, validation</t>
  </si>
  <si>
    <t>EXT-03</t>
  </si>
  <si>
    <t>Xây USGS HTTP client</t>
  </si>
  <si>
    <t>Cài timeout, retry/backoff cho 429/5xx, giới hạn response và log request metadata.</t>
  </si>
  <si>
    <t>Java HTTP client có test giả lập lỗi tạm thời.</t>
  </si>
  <si>
    <t>Retry đúng nhóm lỗi; lỗi 4xx cấu hình không bị retry vô hạn.</t>
  </si>
  <si>
    <t>SPK-01, EXT-01, EXT-02</t>
  </si>
  <si>
    <t>Java HTTP, retry, testing</t>
  </si>
  <si>
    <t>EXT-04</t>
  </si>
  <si>
    <t>Quality</t>
  </si>
  <si>
    <t>Validate response GeoJSON mức Bronze</t>
  </si>
  <si>
    <t>Kiểm tra JSON parse, features array, feature count và response rỗng hợp lệ.</t>
  </si>
  <si>
    <t>Bronze response validator và reason code.</t>
  </si>
  <si>
    <t>Response hỏng không được đánh dấu BronzeReady; empty response hợp lệ có metric riêng.</t>
  </si>
  <si>
    <t>JSON, GeoJSON, data quality</t>
  </si>
  <si>
    <t>EXT-05</t>
  </si>
  <si>
    <t>Ghi dữ liệu nguyên bản vào Bronze</t>
  </si>
  <si>
    <t>Xây path theo ingest_date/run_id và upload response nguyên bản lên MinIO.</t>
  </si>
  <si>
    <t>Bronze writer và object naming convention.</t>
  </si>
  <si>
    <t>Object đọc lại được; retry không overwrite mơ hồ hoặc làm mất raw response.</t>
  </si>
  <si>
    <t>MIO-01, EXT-04</t>
  </si>
  <si>
    <t>MinIO SDK, Java, idempotency</t>
  </si>
  <si>
    <t>EXT-06</t>
  </si>
  <si>
    <t>Observability</t>
  </si>
  <si>
    <t>Ghi ingest metadata và checksum</t>
  </si>
  <si>
    <t>Lưu source, window, fetch time, status, feature count, checksum và run ID.</t>
  </si>
  <si>
    <t>metadata.json và log summary cho mỗi ingest.</t>
  </si>
  <si>
    <t>Checksum khớp object; metadata đủ để tái xử lý đúng input.</t>
  </si>
  <si>
    <t>Metadata, checksum, logging</t>
  </si>
  <si>
    <t>EXT-07</t>
  </si>
  <si>
    <t>Tích hợp Extract vào Airflow DAG</t>
  </si>
  <si>
    <t>Tạo task resolve interval, extract, verify Bronze và dependency dừng downstream.</t>
  </si>
  <si>
    <t>DAG Extract/Bronze có retry và run context.</t>
  </si>
  <si>
    <t>UI hiển thị từng task; Silver không chạy nếu Bronze verify thất bại.</t>
  </si>
  <si>
    <t>AFL-01, EXT-03, EXT-06</t>
  </si>
  <si>
    <t>Airflow, Python/Java integration</t>
  </si>
  <si>
    <t>EXT-08</t>
  </si>
  <si>
    <t>Viết unit test và fixtures cho Extract</t>
  </si>
  <si>
    <t>Bao phủ success, empty, invalid JSON, timeout, 429/5xx và checksum mismatch.</t>
  </si>
  <si>
    <t>Bộ fixtures nhỏ và test tự động.</t>
  </si>
  <si>
    <t>Test ổn định, không phụ thuộc mạng cho unit test và có assertion hành vi retry.</t>
  </si>
  <si>
    <t>EXT-03, EXT-04, EXT-06</t>
  </si>
  <si>
    <t>JUnit, mocking, fixtures</t>
  </si>
  <si>
    <t>EXT-09</t>
  </si>
  <si>
    <t>Integration test USGS đến Bronze</t>
  </si>
  <si>
    <t>Chạy một cửa sổ nhỏ hoặc fixture qua DAG và kiểm tra object/metadata trên MinIO.</t>
  </si>
  <si>
    <t>Evidence integration run và record-count summary.</t>
  </si>
  <si>
    <t>Có run ID truy vết; Bronze object, metadata và Airflow log đối soát được.</t>
  </si>
  <si>
    <t>EXT-07, EXT-08</t>
  </si>
  <si>
    <t>Integration testing, Airflow, MinIO</t>
  </si>
  <si>
    <t>SLV-01</t>
  </si>
  <si>
    <t>Silver</t>
  </si>
  <si>
    <t>Data Contract</t>
  </si>
  <si>
    <t>Chốt logical contract Silver</t>
  </si>
  <si>
    <t>Xác định trường, kiểu, UTC/JST, null policy, reject reason và schema version.</t>
  </si>
  <si>
    <t>Silver contract trong code/docs.</t>
  </si>
  <si>
    <t>Contract đủ cho Gold và test; không khóa schema vật lý database.</t>
  </si>
  <si>
    <t>Data modeling, documentation</t>
  </si>
  <si>
    <t>SLV-02</t>
  </si>
  <si>
    <t>Stage đúng Bronze input cho Spark</t>
  </si>
  <si>
    <t>Resolve object URI theo run context, tải/mount vào staging và tránh wildcard rộng.</t>
  </si>
  <si>
    <t>Airflow staging task và manifest input.</t>
  </si>
  <si>
    <t>Spark chỉ đọc object thuộc run; retry tái sử dụng Bronze hợp lệ.</t>
  </si>
  <si>
    <t>EXT-09, SLV-01</t>
  </si>
  <si>
    <t>Airflow, MinIO, file staging</t>
  </si>
  <si>
    <t>SLV-03</t>
  </si>
  <si>
    <t>Parse GeoJSON features bằng Spark</t>
  </si>
  <si>
    <t>Ánh xạ ID, time, updated, coordinates và properties cần thiết thành DataFrame typed.</t>
  </si>
  <si>
    <t>Spark Java parser cho Bronze GeoJSON.</t>
  </si>
  <si>
    <t>Fixture chuẩn parse đúng; field thiếu/sai type được chuyển thành validation result rõ.</t>
  </si>
  <si>
    <t>SLV-01, SLV-02</t>
  </si>
  <si>
    <t>Spark SQL, Java, GeoJSON</t>
  </si>
  <si>
    <t>SLV-04</t>
  </si>
  <si>
    <t>Chuẩn hóa timestamp và kiểu dữ liệu</t>
  </si>
  <si>
    <t>Chuyển time/updated sang UTC, tạo JST, ép kiểu magnitude/depth/coordinates/flags.</t>
  </si>
  <si>
    <t>Transformation functions tái sử dụng được.</t>
  </si>
  <si>
    <t>UTC→JST đúng qua test; null không bị biến thành 0 ngoài chính sách.</t>
  </si>
  <si>
    <t>Spark SQL, timezone, typing</t>
  </si>
  <si>
    <t>SLV-05</t>
  </si>
  <si>
    <t>Áp dụng validation và reject metrics</t>
  </si>
  <si>
    <t>Kiểm tra required field, tọa độ, parseability, vùng nghiên cứu; tổng hợp reason count.</t>
  </si>
  <si>
    <t>Silver validator và quality summary.</t>
  </si>
  <si>
    <t>valid + rejected = parsed; blocker dừng publish; raw vẫn truy vết được từ Bronze.</t>
  </si>
  <si>
    <t>Data quality, Spark</t>
  </si>
  <si>
    <t>SLV-06</t>
  </si>
  <si>
    <t>Deduplicate theo id và updated</t>
  </si>
  <si>
    <t>Giữ updated mới nhất, định nghĩa tie-break và xử lý duplicate xuyên overlap/partition.</t>
  </si>
  <si>
    <t>Dedup transformation và fixtures late update.</t>
  </si>
  <si>
    <t>Mỗi id chỉ còn một bản ghi; rerun cùng input cho cùng kết quả logic.</t>
  </si>
  <si>
    <t>SLV-04, SLV-05</t>
  </si>
  <si>
    <t>Spark window, idempotency</t>
  </si>
  <si>
    <t>SLV-07</t>
  </si>
  <si>
    <t>Ghi Silver Parquet phân vùng</t>
  </si>
  <si>
    <t>Ghi output tạm, kiểm tra schema/count rồi publish partition year/month lên MinIO.</t>
  </si>
  <si>
    <t>Silver Parquet writer và naming/partition convention.</t>
  </si>
  <si>
    <t>Không có output dở được coi là hoàn tất; partition khớp event time UTC.</t>
  </si>
  <si>
    <t>SLV-06, MIO-01</t>
  </si>
  <si>
    <t>Parquet, MinIO, Spark</t>
  </si>
  <si>
    <t>SLV-08</t>
  </si>
  <si>
    <t>Tích hợp build_silver vào DAG</t>
  </si>
  <si>
    <t>Submit JAR, thu metrics, upload Silver và chỉ mở Gold khi gate đạt.</t>
  </si>
  <si>
    <t>Airflow Silver task group hoàn chỉnh.</t>
  </si>
  <si>
    <t>Retry không gọi lại USGS; exit code và quality gate quyết định trạng thái task.</t>
  </si>
  <si>
    <t>SLV-02, SLV-07</t>
  </si>
  <si>
    <t>Airflow, spark-submit</t>
  </si>
  <si>
    <t>SLV-09</t>
  </si>
  <si>
    <t>Kiểm thử Silver và idempotency</t>
  </si>
  <si>
    <t>Test parse, timezone, invalid rows, dedup, late update, partition và chạy hai lần.</t>
  </si>
  <si>
    <t>Unit/integration test suite cùng báo cáo count.</t>
  </si>
  <si>
    <t>Tập khóa và KPI Silver không đổi khi rerun cùng fixture.</t>
  </si>
  <si>
    <t>JUnit, Spark local, reconciliation</t>
  </si>
  <si>
    <t>GLD-01</t>
  </si>
  <si>
    <t>Gold &amp; Serving</t>
  </si>
  <si>
    <t>Analytics Contract</t>
  </si>
  <si>
    <t>Chốt Gold analytics contract và KPI</t>
  </si>
  <si>
    <t>Xác định fact/current view, date/region/bands và aggregate cần cho Power BI.</t>
  </si>
  <si>
    <t>Gold logical contract và query examples.</t>
  </si>
  <si>
    <t>Mỗi KPI có định nghĩa, filter context và trường nguồn; không thiết kế DDL/database chi tiết.</t>
  </si>
  <si>
    <t>Analytics modeling, SQL</t>
  </si>
  <si>
    <t>GLD-02</t>
  </si>
  <si>
    <t>Spatial Data</t>
  </si>
  <si>
    <t>Stretch</t>
  </si>
  <si>
    <t>P2</t>
  </si>
  <si>
    <t>Ingest và chuẩn hóa boundary Nhật Bản</t>
  </si>
  <si>
    <t>Tải nguồn boundary đã chọn, chuẩn hóa CRS/geometry và lưu Bronze/Silver tham chiếu.</t>
  </si>
  <si>
    <t>Boundary dataset reproducible cùng metadata nguồn.</t>
  </si>
  <si>
    <t>Nguồn, version và CRS được ghi; dữ liệu có thể đọc bởi job enrichment.</t>
  </si>
  <si>
    <t>MIO-01, GLD-01</t>
  </si>
  <si>
    <t>GIS, GeoJSON/Shapefile, metadata</t>
  </si>
  <si>
    <t>GLD-03</t>
  </si>
  <si>
    <t>Spatial Enrichment</t>
  </si>
  <si>
    <t>Spatial enrichment và fallback ngoài khơi</t>
  </si>
  <si>
    <t>Gán prefecture/region hoặc nearest/offshore theo quy tắc đã chốt; không làm mất event.</t>
  </si>
  <si>
    <t>Enrichment transformation và match-rate report.</t>
  </si>
  <si>
    <t>Event không match vẫn tồn tại với Unknown/Offshore; tỷ lệ match được báo cáo.</t>
  </si>
  <si>
    <t>GLD-02, SLV-09</t>
  </si>
  <si>
    <t>Apache Sedona/GIS, Spark</t>
  </si>
  <si>
    <t>GLD-04</t>
  </si>
  <si>
    <t>Tạo magnitude và depth bands</t>
  </si>
  <si>
    <t>Cài mapping band tập trung, ranh giới không chồng lấn và unit test ngưỡng.</t>
  </si>
  <si>
    <t>Band transformation và mapping docs.</t>
  </si>
  <si>
    <t>Giá trị tại biên được phân loại đúng; null giữ đúng chính sách.</t>
  </si>
  <si>
    <t>GLD-01, SLV-09</t>
  </si>
  <si>
    <t>Spark SQL, business rules</t>
  </si>
  <si>
    <t>GLD-05</t>
  </si>
  <si>
    <t>Xây Gold fact/current dataset</t>
  </si>
  <si>
    <t>Tạo dataset sự kiện hiện hành với khóa, thời gian, vị trí, magnitude/depth và flags.</t>
  </si>
  <si>
    <t>Gold fact/current Spark transformation.</t>
  </si>
  <si>
    <t>earthquake_id duy nhất; count đối soát được với Silver phạm vi publish.</t>
  </si>
  <si>
    <t>GLD-01, GLD-04</t>
  </si>
  <si>
    <t>Spark SQL, analytics modeling</t>
  </si>
  <si>
    <t>GLD-06</t>
  </si>
  <si>
    <t>Analytics</t>
  </si>
  <si>
    <t>Xây aggregate ngày/tháng/khu vực</t>
  </si>
  <si>
    <t>Tính count, avg/max magnitude, avg depth, tsunami/alert counts theo filter grain cần thiết.</t>
  </si>
  <si>
    <t>Gold aggregate datasets hoặc views.</t>
  </si>
  <si>
    <t>Aggregate count khớp fact với cùng filter; không double count do join.</t>
  </si>
  <si>
    <t>Spark SQL, aggregation</t>
  </si>
  <si>
    <t>GLD-07</t>
  </si>
  <si>
    <t>Lakehouse</t>
  </si>
  <si>
    <t>Ghi Gold bằng Iceberg và commit snapshot</t>
  </si>
  <si>
    <t>Cấu hình catalog/warehouse, chiến lược write affected partitions và ghi snapshot ID.</t>
  </si>
  <si>
    <t>Iceberg Gold tables và commit logic.</t>
  </si>
  <si>
    <t>Consumer chỉ thấy snapshot hoàn chỉnh; commit lỗi không đánh dấu run thành công.</t>
  </si>
  <si>
    <t>QRY-01, GLD-05, GLD-06</t>
  </si>
  <si>
    <t>Iceberg, Spark, MinIO</t>
  </si>
  <si>
    <t>GLD-08</t>
  </si>
  <si>
    <t>Cấu hình Trino truy vấn Gold</t>
  </si>
  <si>
    <t>Hoàn thiện Iceberg catalog, schema/view cần cho Power BI và query smoke test.</t>
  </si>
  <si>
    <t>Trino catalog/view SQL và query examples.</t>
  </si>
  <si>
    <t>Trino đọc current snapshot; query count/avg/max chạy thành công.</t>
  </si>
  <si>
    <t>Trino, SQL, Iceberg</t>
  </si>
  <si>
    <t>GLD-09</t>
  </si>
  <si>
    <t>Verification SQL và Gold tests</t>
  </si>
  <si>
    <t>Kiểm tra uniqueness, completeness, aggregate consistency, snapshot ID và schema BI contract.</t>
  </si>
  <si>
    <t>Verification queries tích hợp vào DAG/test.</t>
  </si>
  <si>
    <t>Mọi blocker đạt trước Published; lỗi verify không kích hoạt refresh BI.</t>
  </si>
  <si>
    <t>GLD-07, GLD-08</t>
  </si>
  <si>
    <t>SQL testing, data quality</t>
  </si>
  <si>
    <t>ORC-01</t>
  </si>
  <si>
    <t>Orchestration &amp; BI</t>
  </si>
  <si>
    <t>Hoàn thiện DAG end-to-end</t>
  </si>
  <si>
    <t>Nối Extract→Bronze→Silver→Gold→Verify, truyền run context và chặn downstream đúng cách.</t>
  </si>
  <si>
    <t>DAG chính có task groups và dependency hoàn chỉnh.</t>
  </si>
  <si>
    <t>Một daily run đi đúng luồng; task failure dừng đúng tầng.</t>
  </si>
  <si>
    <t>EXT-07, SLV-08, GLD-09</t>
  </si>
  <si>
    <t>Airflow, orchestration</t>
  </si>
  <si>
    <t>ORC-02</t>
  </si>
  <si>
    <t>Structured logging và run summary</t>
  </si>
  <si>
    <t>Chuẩn hóa log/metric cho input, valid, rejected, duplicate, inserted/updated và snapshot.</t>
  </si>
  <si>
    <t>Run summary cuối DAG và log key-value.</t>
  </si>
  <si>
    <t>Số liệu các tầng đối soát được từ một run ID; không log secret/payload lớn.</t>
  </si>
  <si>
    <t>Logging, metrics, Airflow</t>
  </si>
  <si>
    <t>ORC-03</t>
  </si>
  <si>
    <t>Recovery</t>
  </si>
  <si>
    <t>Implement backfill và reprocessing</t>
  </si>
  <si>
    <t>Hỗ trợ chọn khoảng UTC, tái sử dụng Bronze, giới hạn concurrency và preview phạm vi.</t>
  </si>
  <si>
    <t>Backfill workflow/parameters và hướng dẫn chạy.</t>
  </si>
  <si>
    <t>Backfill hai ngày không tạo duplicate và không sửa partition ngoài phạm vi.</t>
  </si>
  <si>
    <t>ORC-01, ORC-02</t>
  </si>
  <si>
    <t>Airflow backfill, idempotency</t>
  </si>
  <si>
    <t>ORC-04</t>
  </si>
  <si>
    <t>Operations</t>
  </si>
  <si>
    <t>Chốt lịch chạy và giới hạn tài nguyên</t>
  </si>
  <si>
    <t>Cấu hình timezone, daily schedule, max active runs, Spark resources và lệch giờ BI refresh.</t>
  </si>
  <si>
    <t>Runtime profile và schedule config.</t>
  </si>
  <si>
    <t>Máy local chạy tuần tự ổn định; không trùng daily run/backfill/BI refresh.</t>
  </si>
  <si>
    <t>Airflow scheduling, Docker resources</t>
  </si>
  <si>
    <t>ORC-05</t>
  </si>
  <si>
    <t>Xác nhận ODBC từ Power BI đến Trino</t>
  </si>
  <si>
    <t>Cài/cấu hình driver, DSN, authentication và chạy query nhỏ từ Power BI.</t>
  </si>
  <si>
    <t>Hướng dẫn ODBC và evidence kết nối.</t>
  </si>
  <si>
    <t>Power BI import được result set; catalog/schema/timeout được ghi rõ.</t>
  </si>
  <si>
    <t>ODBC, Trino, Power BI</t>
  </si>
  <si>
    <t>BI-01</t>
  </si>
  <si>
    <t>Power BI</t>
  </si>
  <si>
    <t>Tạo Power Query dataset</t>
  </si>
  <si>
    <t>Tạo các query cần thiết, typed columns và metadata refresh/snapshot.</t>
  </si>
  <si>
    <t>PBIX có query import ổn định.</t>
  </si>
  <si>
    <t>Refresh thành công; không đọc trực tiếp từng Parquet object.</t>
  </si>
  <si>
    <t>ORC-05, GLD-09</t>
  </si>
  <si>
    <t>Power Query, SQL</t>
  </si>
  <si>
    <t>BI-02</t>
  </si>
  <si>
    <t>Tạo semantic model và KPI measures</t>
  </si>
  <si>
    <t>Tạo relationship/date table/measures Total, Avg/Max, Strong, Tsunami, Offshore và freshness.</t>
  </si>
  <si>
    <t>Semantic model và DAX measures.</t>
  </si>
  <si>
    <t>Measure khớp SQL độc lập; null magnitude không bị thay bằng 0.</t>
  </si>
  <si>
    <t>BI-01, GLD-01</t>
  </si>
  <si>
    <t>Power BI modeling, DAX</t>
  </si>
  <si>
    <t>BI-03</t>
  </si>
  <si>
    <t>Xây trang Tổng quan</t>
  </si>
  <si>
    <t>Tạo KPI cards, time trend, magnitude distribution, top regions và notable events.</t>
  </si>
  <si>
    <t>Dashboard trang Tổng quan.</t>
  </si>
  <si>
    <t>Filter chung hoạt động; số liệu chính khớp Trino.</t>
  </si>
  <si>
    <t>Power BI visuals, UX</t>
  </si>
  <si>
    <t>BI-04</t>
  </si>
  <si>
    <t>Xây trang Phân tích không gian</t>
  </si>
  <si>
    <t>Tạo map tâm chấn, region bars, Offshore/Unknown KPI và drill-through.</t>
  </si>
  <si>
    <t>Dashboard trang Không gian.</t>
  </si>
  <si>
    <t>Không dùng tọa độ giả; event ngoài khơi vẫn hiển thị hoặc được thống kê đúng.</t>
  </si>
  <si>
    <t>BI-02, GLD-03 (nếu làm Stretch)</t>
  </si>
  <si>
    <t>Power BI maps, geospatial</t>
  </si>
  <si>
    <t>BI-05</t>
  </si>
  <si>
    <t>Xây trang Độ sâu và độ lớn</t>
  </si>
  <si>
    <t>Tạo histogram, scatter, band matrix, trend và hiển thị last refresh/snapshot.</t>
  </si>
  <si>
    <t>Dashboard trang Depth &amp; Magnitude.</t>
  </si>
  <si>
    <t>Visual có unit/tooltip; disclaimer không dự báo; refresh metadata rõ.</t>
  </si>
  <si>
    <t>Power BI visuals, analytics</t>
  </si>
  <si>
    <t>QA-01</t>
  </si>
  <si>
    <t>QA &amp; Release</t>
  </si>
  <si>
    <t>E2E happy-path test</t>
  </si>
  <si>
    <t>Chạy daily interval từ extract đến Power BI/Trino verify và lưu bằng chứng từng tầng.</t>
  </si>
  <si>
    <t>E2E test report và run IDs.</t>
  </si>
  <si>
    <t>Bronze, Silver, Gold, snapshot và KPI đều truy vết được từ một run.</t>
  </si>
  <si>
    <t>ORC-03, BI-05</t>
  </si>
  <si>
    <t>E2E testing, evidence</t>
  </si>
  <si>
    <t>QA-02</t>
  </si>
  <si>
    <t>Test rerun, duplicate và late update</t>
  </si>
  <si>
    <t>Chạy cùng input hai lần và fixture updated mới hơn; so khóa, count và KPI.</t>
  </si>
  <si>
    <t>Idempotency/late-update test report.</t>
  </si>
  <si>
    <t>Rerun không tăng duplicate; bản ghi updated mới nhất được chọn.</t>
  </si>
  <si>
    <t>Data reconciliation, idempotency</t>
  </si>
  <si>
    <t>QA-03</t>
  </si>
  <si>
    <t>Test backfill và failure recovery</t>
  </si>
  <si>
    <t>Mô phỏng extract fail, Silver fail, Gold fail trước commit và verify fail sau commit.</t>
  </si>
  <si>
    <t>Recovery matrix kèm bằng chứng chạy lại đúng tầng.</t>
  </si>
  <si>
    <t>Không cần xóa dữ liệu; BI không refresh khi run chưa Published.</t>
  </si>
  <si>
    <t>ORC-03, QA-01</t>
  </si>
  <si>
    <t>Airflow recovery, fault testing</t>
  </si>
  <si>
    <t>QA-04</t>
  </si>
  <si>
    <t>Reconcile Trino và Power BI</t>
  </si>
  <si>
    <t>Đối chiếu total, avg/max, tsunami, region và filter dates giữa SQL và dashboard.</t>
  </si>
  <si>
    <t>Reconciliation checklist có kết quả.</t>
  </si>
  <si>
    <t>KPI khớp với cùng filter; chênh lệch được giải thích và sửa.</t>
  </si>
  <si>
    <t>QA-01, BI-05</t>
  </si>
  <si>
    <t>SQL, Power BI validation</t>
  </si>
  <si>
    <t>QA-05</t>
  </si>
  <si>
    <t>Performance</t>
  </si>
  <si>
    <t>Profile và tối ưu tài nguyên local</t>
  </si>
  <si>
    <t>Đo duration/memory/disk, thử data volume đại diện và điều chỉnh Spark/Compose/query.</t>
  </si>
  <si>
    <t>Resource profile và cấu hình khuyến nghị.</t>
  </si>
  <si>
    <t>Run hoàn tất trong cửa sổ demo/refresh; không OOM ở cấu hình mục tiêu.</t>
  </si>
  <si>
    <t>QA-01, ORC-04</t>
  </si>
  <si>
    <t>Performance testing, Spark</t>
  </si>
  <si>
    <t>SEC-01</t>
  </si>
  <si>
    <t>Security</t>
  </si>
  <si>
    <t>Security và secret review</t>
  </si>
  <si>
    <t>Kiểm tra env, Git history, port exposure, default credentials, logs và quyền bucket.</t>
  </si>
  <si>
    <t>Security checklist và issue fixes.</t>
  </si>
  <si>
    <t>Không có secret trong repo/log; chỉ port cần thiết được expose.</t>
  </si>
  <si>
    <t>Security, Docker, Git</t>
  </si>
  <si>
    <t>OPS-01</t>
  </si>
  <si>
    <t>Backup/restore smoke test</t>
  </si>
  <si>
    <t>Backup MinIO/catalog/Airflow metadata cần thiết và restore trên môi trường thử.</t>
  </si>
  <si>
    <t>Backup manifest và restore procedure đã thử.</t>
  </si>
  <si>
    <t>Restore đọc được Gold snapshot/query kiểm chứng; không chứa secret chia sẻ.</t>
  </si>
  <si>
    <t>GLD-09, ORC-04</t>
  </si>
  <si>
    <t>Backup, MinIO, operations</t>
  </si>
  <si>
    <t>DOC-01</t>
  </si>
  <si>
    <t>Documentation</t>
  </si>
  <si>
    <t>Cập nhật docs theo hệ thống thực tế</t>
  </si>
  <si>
    <t>Thay TBD bằng service/port/command thật; cập nhật runbook, architecture, known issues.</t>
  </si>
  <si>
    <t>Bộ docs khớp phiên bản demo.</t>
  </si>
  <si>
    <t>Thành viên mới làm theo runbook chạy được; link nội bộ không hỏng.</t>
  </si>
  <si>
    <t>QA-01, QA-03, SEC-01, OPS-01</t>
  </si>
  <si>
    <t>Technical writing, operations</t>
  </si>
  <si>
    <t>DEMO-01</t>
  </si>
  <si>
    <t>Demo</t>
  </si>
  <si>
    <t>Chuẩn bị dữ liệu và kịch bản demo</t>
  </si>
  <si>
    <t>Chọn data interval nhỏ, fixture dự phòng, SQL kiểm chứng, ảnh/log và thứ tự trình bày.</t>
  </si>
  <si>
    <t>Demo package và checklist preflight.</t>
  </si>
  <si>
    <t>Demo có fallback mạng/ODBC; mọi con số có evidence.</t>
  </si>
  <si>
    <t>QA-04, DOC-01</t>
  </si>
  <si>
    <t>Demo, communication, QA</t>
  </si>
  <si>
    <t>DEMO-02</t>
  </si>
  <si>
    <t>Release</t>
  </si>
  <si>
    <t>Rehearsal, sửa lỗi cuối và tạo release</t>
  </si>
  <si>
    <t>Chạy rehearsal 15–20 phút, sửa blocker, đóng known issues và gắn tag/commit demo.</t>
  </si>
  <si>
    <t>Release candidate, tag và biên bản rehearsal.</t>
  </si>
  <si>
    <t>Ba thành viên thực hiện được phần của mình; E2E và demo checklist đạt.</t>
  </si>
  <si>
    <t>QA-02, QA-03, QA-05, DEMO-01</t>
  </si>
  <si>
    <t>Release management, presentation</t>
  </si>
  <si>
    <t>Hướng dẫn pick và cập nhật task</t>
  </si>
  <si>
    <t>Workbook dành cho 3 thành viên trong 6 tuần. Backlog không tự gán người để nhóm chủ động pick theo kỹ năng và capacity.</t>
  </si>
  <si>
    <t>Quy trình</t>
  </si>
  <si>
    <t>Cách thực hiện</t>
  </si>
  <si>
    <t>Ý nghĩa</t>
  </si>
  <si>
    <t>1. Khai báo thành viên</t>
  </si>
  <si>
    <t>Điền tên ở Tổng quan!B7:B9 trước khi pick.</t>
  </si>
  <si>
    <t>Đường găng hoặc điều kiện để downstream bắt đầu.</t>
  </si>
  <si>
    <t>2. Chọn task</t>
  </si>
  <si>
    <t>Chọn Assignee từ dropdown; ưu tiên P0, dependency đã sẵn sàng và tải mỗi tuần cân bằng.</t>
  </si>
  <si>
    <t>Quan trọng cho chất lượng, vận hành hoặc trải nghiệm.</t>
  </si>
  <si>
    <t>3. Chọn reviewer</t>
  </si>
  <si>
    <t>Reviewer phải khác Assignee; ưu tiên người hiểu stream liền kề.</t>
  </si>
  <si>
    <t>Có thể hoãn nếu P0/P1 trễ; thường là Stretch.</t>
  </si>
  <si>
    <t>4. Bắt đầu</t>
  </si>
  <si>
    <t>Chuyển Status sang In Progress và tạo branch theo Task ID.</t>
  </si>
  <si>
    <t>5. Mở PR</t>
  </si>
  <si>
    <t>Chuyển Status sang Review, điền link PR/evidence và kiểm tra acceptance criteria.</t>
  </si>
  <si>
    <t>6. Hoàn thành</t>
  </si>
  <si>
    <t>Chỉ chuyển Done sau review, test và cập nhật docs/contract liên quan.</t>
  </si>
  <si>
    <t>Cần hoàn thành để đạt phiên bản đầu tiên.</t>
  </si>
  <si>
    <t>7. Review hằng tuần</t>
  </si>
  <si>
    <t>Cuối tuần đối chiếu exit criteria, effort còn lại, blocker và task chưa pick.</t>
  </si>
  <si>
    <t>Chỉ làm sau khi dependency Core ổn định.</t>
  </si>
  <si>
    <t>Điều kiện sử dụng</t>
  </si>
  <si>
    <t>Definition of Done</t>
  </si>
  <si>
    <t>Yêu cầu</t>
  </si>
  <si>
    <t>Chưa sẵn sàng hoặc chưa được pick.</t>
  </si>
  <si>
    <t>Có trong repository hoặc môi trường demo và truy vết được bằng Task ID.</t>
  </si>
  <si>
    <t>Ready</t>
  </si>
  <si>
    <t>Dependency đã đạt và có thể bắt đầu.</t>
  </si>
  <si>
    <t>Acceptance</t>
  </si>
  <si>
    <t>Mọi tiêu chí hoàn thành của task đã được kiểm tra.</t>
  </si>
  <si>
    <t>Assignee đang thực hiện.</t>
  </si>
  <si>
    <t>Tests</t>
  </si>
  <si>
    <t>Test tự động đạt hoặc có bằng chứng kiểm thử thủ công phù hợp.</t>
  </si>
  <si>
    <t>Review</t>
  </si>
  <si>
    <t>Đã có deliverable/PR và đang chờ kiểm tra.</t>
  </si>
  <si>
    <t>P0/P1 có reviewer khác assignee xác nhận.</t>
  </si>
  <si>
    <t>Blocked</t>
  </si>
  <si>
    <t>Không thể tiếp tục; ghi blocker và người cần hỗ trợ trong Ghi chú.</t>
  </si>
  <si>
    <t>Không có secret, dữ liệu nhạy cảm hoặc artifact không cần thiết.</t>
  </si>
  <si>
    <t>Done</t>
  </si>
  <si>
    <t>Đạt acceptance criteria, test và review.</t>
  </si>
  <si>
    <t>Docs/contract/config được cập nhật nếu hành vi thay đổi.</t>
  </si>
  <si>
    <t>Effort</t>
  </si>
  <si>
    <t>Exit criteria</t>
  </si>
  <si>
    <t>Service nền chạy, health check đạt và có smoke checklist.</t>
  </si>
  <si>
    <t>Extract và Bronze</t>
  </si>
  <si>
    <t>USGS GeoJSON được lưu cùng metadata/checksum.</t>
  </si>
  <si>
    <t>Silver pipeline</t>
  </si>
  <si>
    <t>Parse, normalize, validate, dedup và publish Parquet.</t>
  </si>
  <si>
    <t>Gold, Iceberg và Trino</t>
  </si>
  <si>
    <t>Gold snapshot commit và verify được bằng Trino.</t>
  </si>
  <si>
    <t>Orchestration và Power BI</t>
  </si>
  <si>
    <t>DAG retry/backfill và ba trang dashboard hoạt động.</t>
  </si>
  <si>
    <t>E2E/rerun/reconciliation/runbook/demo được xác nhận.</t>
  </si>
  <si>
    <t>Nguồn nội bộ</t>
  </si>
  <si>
    <t>Đường dẫn</t>
  </si>
  <si>
    <t>Đặc tả dự án</t>
  </si>
  <si>
    <t>docs/specs/PROJECT_SPECIFICATION.md</t>
  </si>
  <si>
    <t>Kiến trúc</t>
  </si>
  <si>
    <t>docs/SYSTEM_ARCHITECTURE.md</t>
  </si>
  <si>
    <t>Luồng ETL</t>
  </si>
  <si>
    <t>docs/flows/DAILY_ETL_PIPELINE.md</t>
  </si>
  <si>
    <t>Chất lượng dữ liệu</t>
  </si>
  <si>
    <t>docs/DATA_QUALITY_AND_OBSERVABILITY.md</t>
  </si>
  <si>
    <t>Dashboard</t>
  </si>
  <si>
    <t>docs/ANALYTICS_DASHBOARD.md</t>
  </si>
  <si>
    <t>Trần Minh Hoài Tâm</t>
  </si>
  <si>
    <t>Nguyễn Thanh Trí</t>
  </si>
  <si>
    <t>Lê Thị Thuỳ Trang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</si>
</sst>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"/>
    <numFmt numFmtId="165" formatCode="0.0%"/>
  </numFmts>
  <fonts count="9">
    <font>
      <sz val="11"/>
      <name val="Carlito"/>
    </font>
    <font>
      <b/>
      <sz val="16"/>
      <color rgb="FF17365D"/>
      <name val="Arial"/>
      <family val="2"/>
    </font>
    <font>
      <i/>
      <sz val="10"/>
      <color rgb="FF666666"/>
      <name val="Arial"/>
      <family val="2"/>
    </font>
    <font>
      <b/>
      <sz val="10"/>
      <color rgb="FF222222"/>
      <name val="Arial"/>
      <family val="2"/>
    </font>
    <font>
      <sz val="10"/>
      <color rgb="FF222222"/>
      <name val="Arial"/>
      <family val="2"/>
    </font>
    <font>
      <i/>
      <sz val="10"/>
      <name val="Arial"/>
      <family val="2"/>
    </font>
    <font>
      <b/>
      <sz val="10"/>
      <color rgb="FFFFFFFF"/>
      <name val="Arial"/>
      <family val="2"/>
    </font>
    <font>
      <b/>
      <sz val="14"/>
      <color rgb="FF17365D"/>
      <name val="Arial"/>
      <family val="2"/>
    </font>
    <font>
      <sz val="1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F2F2F2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17365D"/>
      </patternFill>
    </fill>
  </fills>
  <borders count="13">
    <border>
      <left/>
      <right/>
      <top/>
      <bottom/>
      <diagonal/>
    </border>
    <border>
      <left/>
      <right/>
      <top/>
      <bottom style="thin">
        <color rgb="FFB4C6E7"/>
      </bottom>
      <diagonal/>
    </border>
    <border>
      <left style="thin">
        <color rgb="FFD6B656"/>
      </left>
      <right style="thin">
        <color rgb="FFD6B656"/>
      </right>
      <top style="thin">
        <color rgb="FFD6B656"/>
      </top>
      <bottom/>
      <diagonal/>
    </border>
    <border>
      <left style="thin">
        <color rgb="FFD6B656"/>
      </left>
      <right style="thin">
        <color rgb="FFD6B656"/>
      </right>
      <top/>
      <bottom/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/>
      <right style="thin">
        <color rgb="FFB4C6E7"/>
      </right>
      <top/>
      <bottom style="thin">
        <color rgb="FFB4C6E7"/>
      </bottom>
      <diagonal/>
    </border>
    <border>
      <left style="thin">
        <color rgb="FFB4C6E7"/>
      </left>
      <right style="thin">
        <color rgb="FFB4C6E7"/>
      </right>
      <top/>
      <bottom style="thin">
        <color rgb="FFB4C6E7"/>
      </bottom>
      <diagonal/>
    </border>
    <border>
      <left style="thin">
        <color rgb="FFB4C6E7"/>
      </left>
      <right/>
      <top/>
      <bottom style="thin">
        <color rgb="FFB4C6E7"/>
      </bottom>
      <diagonal/>
    </border>
    <border>
      <left/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B4C6E7"/>
      </left>
      <right/>
      <top style="thin">
        <color rgb="FFB4C6E7"/>
      </top>
      <bottom style="thin">
        <color rgb="FFB4C6E7"/>
      </bottom>
      <diagonal/>
    </border>
    <border>
      <left/>
      <right style="thin">
        <color rgb="FFB4C6E7"/>
      </right>
      <top style="thin">
        <color rgb="FFB4C6E7"/>
      </top>
      <bottom/>
      <diagonal/>
    </border>
    <border>
      <left style="thin">
        <color rgb="FFB4C6E7"/>
      </left>
      <right style="thin">
        <color rgb="FFB4C6E7"/>
      </right>
      <top style="thin">
        <color rgb="FFB4C6E7"/>
      </top>
      <bottom/>
      <diagonal/>
    </border>
    <border>
      <left style="thin">
        <color rgb="FFB4C6E7"/>
      </left>
      <right/>
      <top style="thin">
        <color rgb="FFB4C6E7"/>
      </top>
      <bottom/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0" borderId="0" xfId="0" applyFont="1"/>
    <xf numFmtId="0" fontId="2" fillId="0" borderId="1" xfId="0" applyFont="1" applyBorder="1"/>
    <xf numFmtId="0" fontId="3" fillId="0" borderId="0" xfId="0" applyFont="1"/>
    <xf numFmtId="164" fontId="4" fillId="2" borderId="2" xfId="0" applyNumberFormat="1" applyFont="1" applyFill="1" applyBorder="1"/>
    <xf numFmtId="1" fontId="4" fillId="2" borderId="3" xfId="0" applyNumberFormat="1" applyFont="1" applyFill="1" applyBorder="1"/>
    <xf numFmtId="0" fontId="6" fillId="4" borderId="0" xfId="0" applyFont="1" applyFill="1" applyAlignment="1">
      <alignment horizontal="center" vertical="center"/>
    </xf>
    <xf numFmtId="0" fontId="7" fillId="5" borderId="4" xfId="0" applyFont="1" applyFill="1" applyBorder="1" applyAlignment="1">
      <alignment horizontal="center" vertical="center"/>
    </xf>
    <xf numFmtId="165" fontId="7" fillId="5" borderId="4" xfId="0" applyNumberFormat="1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 wrapText="1"/>
    </xf>
    <xf numFmtId="0" fontId="4" fillId="0" borderId="5" xfId="0" applyFont="1" applyBorder="1" applyAlignment="1">
      <alignment vertical="center"/>
    </xf>
    <xf numFmtId="0" fontId="4" fillId="0" borderId="8" xfId="0" applyFont="1" applyBorder="1" applyAlignment="1">
      <alignment vertical="center"/>
    </xf>
    <xf numFmtId="0" fontId="4" fillId="0" borderId="10" xfId="0" applyFont="1" applyBorder="1" applyAlignment="1">
      <alignment vertical="center"/>
    </xf>
    <xf numFmtId="1" fontId="4" fillId="0" borderId="6" xfId="0" applyNumberFormat="1" applyFont="1" applyBorder="1" applyAlignment="1">
      <alignment vertical="center"/>
    </xf>
    <xf numFmtId="1" fontId="4" fillId="0" borderId="4" xfId="0" applyNumberFormat="1" applyFont="1" applyBorder="1" applyAlignment="1">
      <alignment vertical="center"/>
    </xf>
    <xf numFmtId="1" fontId="4" fillId="0" borderId="11" xfId="0" applyNumberFormat="1" applyFont="1" applyBorder="1" applyAlignment="1">
      <alignment vertical="center"/>
    </xf>
    <xf numFmtId="165" fontId="4" fillId="0" borderId="6" xfId="0" applyNumberFormat="1" applyFont="1" applyBorder="1" applyAlignment="1">
      <alignment vertical="center"/>
    </xf>
    <xf numFmtId="165" fontId="4" fillId="0" borderId="4" xfId="0" applyNumberFormat="1" applyFont="1" applyBorder="1" applyAlignment="1">
      <alignment vertical="center"/>
    </xf>
    <xf numFmtId="165" fontId="4" fillId="0" borderId="11" xfId="0" applyNumberFormat="1" applyFont="1" applyBorder="1" applyAlignment="1">
      <alignment vertical="center"/>
    </xf>
    <xf numFmtId="1" fontId="4" fillId="0" borderId="7" xfId="0" applyNumberFormat="1" applyFont="1" applyBorder="1" applyAlignment="1">
      <alignment vertical="center"/>
    </xf>
    <xf numFmtId="1" fontId="4" fillId="0" borderId="9" xfId="0" applyNumberFormat="1" applyFont="1" applyBorder="1" applyAlignment="1">
      <alignment vertical="center"/>
    </xf>
    <xf numFmtId="1" fontId="4" fillId="0" borderId="12" xfId="0" applyNumberFormat="1" applyFont="1" applyBorder="1" applyAlignment="1">
      <alignment vertical="center"/>
    </xf>
    <xf numFmtId="164" fontId="4" fillId="0" borderId="6" xfId="0" applyNumberFormat="1" applyFont="1" applyBorder="1" applyAlignment="1">
      <alignment vertical="center"/>
    </xf>
    <xf numFmtId="164" fontId="4" fillId="0" borderId="7" xfId="0" applyNumberFormat="1" applyFont="1" applyBorder="1" applyAlignment="1">
      <alignment vertical="center"/>
    </xf>
    <xf numFmtId="164" fontId="4" fillId="0" borderId="4" xfId="0" applyNumberFormat="1" applyFont="1" applyBorder="1" applyAlignment="1">
      <alignment vertical="center"/>
    </xf>
    <xf numFmtId="164" fontId="4" fillId="0" borderId="9" xfId="0" applyNumberFormat="1" applyFont="1" applyBorder="1" applyAlignment="1">
      <alignment vertical="center"/>
    </xf>
    <xf numFmtId="164" fontId="4" fillId="0" borderId="11" xfId="0" applyNumberFormat="1" applyFont="1" applyBorder="1" applyAlignment="1">
      <alignment vertical="center"/>
    </xf>
    <xf numFmtId="164" fontId="4" fillId="0" borderId="12" xfId="0" applyNumberFormat="1" applyFont="1" applyBorder="1" applyAlignment="1">
      <alignment vertical="center"/>
    </xf>
    <xf numFmtId="0" fontId="8" fillId="0" borderId="0" xfId="0" applyFont="1"/>
    <xf numFmtId="1" fontId="8" fillId="0" borderId="0" xfId="0" applyNumberFormat="1" applyFont="1"/>
    <xf numFmtId="0" fontId="4" fillId="0" borderId="6" xfId="0" applyFont="1" applyBorder="1" applyAlignment="1">
      <alignment vertical="center" wrapText="1"/>
    </xf>
    <xf numFmtId="0" fontId="4" fillId="0" borderId="4" xfId="0" applyFont="1" applyBorder="1" applyAlignment="1">
      <alignment vertical="center" wrapText="1"/>
    </xf>
    <xf numFmtId="0" fontId="4" fillId="0" borderId="11" xfId="0" applyFont="1" applyBorder="1" applyAlignment="1">
      <alignment vertical="center" wrapText="1"/>
    </xf>
    <xf numFmtId="0" fontId="4" fillId="0" borderId="0" xfId="0" applyFont="1" applyAlignment="1">
      <alignment vertical="center"/>
    </xf>
    <xf numFmtId="0" fontId="4" fillId="0" borderId="0" xfId="0" applyFont="1" applyAlignment="1">
      <alignment vertical="top" wrapText="1"/>
    </xf>
    <xf numFmtId="0" fontId="4" fillId="2" borderId="0" xfId="0" applyFont="1" applyFill="1" applyAlignment="1">
      <alignment vertical="top" wrapText="1"/>
    </xf>
    <xf numFmtId="1" fontId="4" fillId="0" borderId="0" xfId="0" applyNumberFormat="1" applyFont="1" applyAlignment="1">
      <alignment vertical="top" wrapText="1"/>
    </xf>
    <xf numFmtId="0" fontId="4" fillId="0" borderId="5" xfId="0" applyFont="1" applyBorder="1" applyAlignment="1">
      <alignment vertical="top" wrapText="1"/>
    </xf>
    <xf numFmtId="0" fontId="4" fillId="0" borderId="7" xfId="0" applyFont="1" applyBorder="1" applyAlignment="1">
      <alignment vertical="top" wrapText="1"/>
    </xf>
    <xf numFmtId="0" fontId="4" fillId="0" borderId="8" xfId="0" applyFont="1" applyBorder="1" applyAlignment="1">
      <alignment vertical="top" wrapText="1"/>
    </xf>
    <xf numFmtId="0" fontId="4" fillId="0" borderId="9" xfId="0" applyFont="1" applyBorder="1" applyAlignment="1">
      <alignment vertical="top" wrapText="1"/>
    </xf>
    <xf numFmtId="0" fontId="4" fillId="0" borderId="10" xfId="0" applyFont="1" applyBorder="1" applyAlignment="1">
      <alignment vertical="top" wrapText="1"/>
    </xf>
    <xf numFmtId="0" fontId="4" fillId="0" borderId="12" xfId="0" applyFont="1" applyBorder="1" applyAlignment="1">
      <alignment vertical="top" wrapText="1"/>
    </xf>
    <xf numFmtId="1" fontId="4" fillId="0" borderId="5" xfId="0" applyNumberFormat="1" applyFont="1" applyBorder="1" applyAlignment="1">
      <alignment vertical="top" wrapText="1"/>
    </xf>
    <xf numFmtId="1" fontId="4" fillId="0" borderId="8" xfId="0" applyNumberFormat="1" applyFont="1" applyBorder="1" applyAlignment="1">
      <alignment vertical="top" wrapText="1"/>
    </xf>
    <xf numFmtId="1" fontId="4" fillId="0" borderId="10" xfId="0" applyNumberFormat="1" applyFont="1" applyBorder="1" applyAlignment="1">
      <alignment vertical="top" wrapText="1"/>
    </xf>
    <xf numFmtId="0" fontId="5" fillId="3" borderId="0" xfId="0" applyFont="1" applyFill="1" applyAlignment="1">
      <alignment wrapText="1"/>
    </xf>
  </cellXfs>
  <cellStyles count="1">
    <cellStyle name="Normal" xfId="0" builtinId="0"/>
  </cellStyles>
  <dxfs count="11">
    <dxf>
      <font>
        <b/>
        <color rgb="FF9C0006"/>
      </font>
      <fill>
        <patternFill>
          <bgColor rgb="FFF4CCCC"/>
        </patternFill>
      </fill>
    </dxf>
    <dxf>
      <font>
        <b/>
        <color rgb="FF60497A"/>
      </font>
      <fill>
        <patternFill>
          <bgColor rgb="FFE4DFEC"/>
        </patternFill>
      </fill>
    </dxf>
    <dxf>
      <font>
        <b/>
        <color rgb="FF17365D"/>
      </font>
      <fill>
        <patternFill>
          <bgColor rgb="FFDDEBF7"/>
        </patternFill>
      </fill>
    </dxf>
    <dxf>
      <font>
        <b/>
        <color rgb="FF375623"/>
      </font>
      <fill>
        <patternFill>
          <bgColor rgb="FFE2F0D9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b/>
        <color rgb="FF7F6000"/>
      </font>
      <fill>
        <patternFill>
          <bgColor rgb="FFFFF2CC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b/>
        <color rgb="FF60497A"/>
      </font>
      <fill>
        <patternFill>
          <bgColor rgb="FFE4DFEC"/>
        </patternFill>
      </fill>
    </dxf>
    <dxf>
      <font>
        <b/>
        <color rgb="FF7F6000"/>
      </font>
      <fill>
        <patternFill>
          <bgColor rgb="FFFFF2CC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b/>
        <color rgb="FF7F6000"/>
      </font>
      <fill>
        <patternFill>
          <bgColor rgb="FFFFF2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 sz="900">
                <a:latin typeface="Arial"/>
                <a:ea typeface="Arial"/>
                <a:cs typeface="Arial"/>
              </a:rPr>
              <a:t>Effort đã pick và mục tiêu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Effort đã pick</c:v>
          </c:tx>
          <c:invertIfNegative val="1"/>
          <c:cat>
            <c:strRef>
              <c:f>'Tổng quan'!$A$16:$A$18</c:f>
              <c:strCache>
                <c:ptCount val="3"/>
                <c:pt idx="0">
                  <c:v>Trần Minh Hoài Tâm</c:v>
                </c:pt>
                <c:pt idx="1">
                  <c:v>Nguyễn Thanh Trí</c:v>
                </c:pt>
                <c:pt idx="2">
                  <c:v>Lê Thị Thuỳ Trang</c:v>
                </c:pt>
              </c:strCache>
            </c:strRef>
          </c:cat>
          <c:val>
            <c:numRef>
              <c:f>'Tổng quan'!$C$16:$C$18</c:f>
              <c:numCache>
                <c:formatCode>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90-B940-9A45-7332250E1788}"/>
            </c:ext>
          </c:extLst>
        </c:ser>
        <c:ser>
          <c:idx val="1"/>
          <c:order val="1"/>
          <c:tx>
            <c:v>Mục tiêu</c:v>
          </c:tx>
          <c:invertIfNegative val="1"/>
          <c:cat>
            <c:strRef>
              <c:f>'Tổng quan'!$A$16:$A$18</c:f>
              <c:strCache>
                <c:ptCount val="3"/>
                <c:pt idx="0">
                  <c:v>Trần Minh Hoài Tâm</c:v>
                </c:pt>
                <c:pt idx="1">
                  <c:v>Nguyễn Thanh Trí</c:v>
                </c:pt>
                <c:pt idx="2">
                  <c:v>Lê Thị Thuỳ Trang</c:v>
                </c:pt>
              </c:strCache>
            </c:strRef>
          </c:cat>
          <c:val>
            <c:numRef>
              <c:f>'Tổng quan'!$D$16:$D$18</c:f>
              <c:numCache>
                <c:formatCode>0</c:formatCode>
                <c:ptCount val="3"/>
                <c:pt idx="0">
                  <c:v>90</c:v>
                </c:pt>
                <c:pt idx="1">
                  <c:v>90</c:v>
                </c:pt>
                <c:pt idx="2">
                  <c:v>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490-B940-9A45-7332250E17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  <a:endParaRPr lang="en-VN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  <a:endParaRPr lang="en-VN"/>
          </a:p>
        </c:txPr>
        <c:crossAx val="48650112"/>
        <c:crosses val="autoZero"/>
        <c:crossBetween val="between"/>
      </c:valAx>
    </c:plotArea>
    <c:legend>
      <c:legendPos val="t"/>
      <c:overlay val="0"/>
      <c:txPr>
        <a:bodyPr anchorCtr="1"/>
        <a:lstStyle/>
        <a:p>
          <a:pPr>
            <a:defRPr>
              <a:latin typeface="Arial"/>
              <a:ea typeface="Arial"/>
              <a:cs typeface="Arial"/>
            </a:defRPr>
          </a:pPr>
          <a:endParaRPr lang="en-V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14</xdr:row>
      <xdr:rowOff>0</xdr:rowOff>
    </xdr:from>
    <xdr:to>
      <xdr:col>18</xdr:col>
      <xdr:colOff>0</xdr:colOff>
      <xdr:row>29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skBacklogTable" displayName="TaskBacklogTable" ref="A6:R62" totalsRowShown="0">
  <autoFilter ref="A6:R62" xr:uid="{00000000-0009-0000-0100-000001000000}"/>
  <tableColumns count="18">
    <tableColumn id="1" xr3:uid="{00000000-0010-0000-0000-000001000000}" name="Task ID"/>
    <tableColumn id="2" xr3:uid="{00000000-0010-0000-0000-000002000000}" name="Tuần"/>
    <tableColumn id="3" xr3:uid="{00000000-0010-0000-0000-000003000000}" name="Giai đoạn"/>
    <tableColumn id="4" xr3:uid="{00000000-0010-0000-0000-000004000000}" name="Workstream"/>
    <tableColumn id="5" xr3:uid="{00000000-0010-0000-0000-000005000000}" name="Scope"/>
    <tableColumn id="6" xr3:uid="{00000000-0010-0000-0000-000006000000}" name="Priority"/>
    <tableColumn id="7" xr3:uid="{00000000-0010-0000-0000-000007000000}" name="Task"/>
    <tableColumn id="8" xr3:uid="{00000000-0010-0000-0000-000008000000}" name="Mô tả"/>
    <tableColumn id="9" xr3:uid="{00000000-0010-0000-0000-000009000000}" name="Deliverable"/>
    <tableColumn id="10" xr3:uid="{00000000-0010-0000-0000-00000A000000}" name="Tiêu chí hoàn thành"/>
    <tableColumn id="11" xr3:uid="{00000000-0010-0000-0000-00000B000000}" name="Dependency"/>
    <tableColumn id="12" xr3:uid="{00000000-0010-0000-0000-00000C000000}" name="Effort (h)"/>
    <tableColumn id="13" xr3:uid="{00000000-0010-0000-0000-00000D000000}" name="Kỹ năng"/>
    <tableColumn id="14" xr3:uid="{00000000-0010-0000-0000-00000E000000}" name="Assignee"/>
    <tableColumn id="15" xr3:uid="{00000000-0010-0000-0000-00000F000000}" name="Reviewer"/>
    <tableColumn id="16" xr3:uid="{00000000-0010-0000-0000-000010000000}" name="Status"/>
    <tableColumn id="17" xr3:uid="{00000000-0010-0000-0000-000011000000}" name="Evidence / PR"/>
    <tableColumn id="18" xr3:uid="{00000000-0010-0000-0000-000012000000}" name="Ghi chú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7365D"/>
  </sheetPr>
  <dimension ref="A1:R29"/>
  <sheetViews>
    <sheetView showGridLines="0" tabSelected="1" workbookViewId="0">
      <pane ySplit="3" topLeftCell="A4" activePane="bottomLeft" state="frozen"/>
      <selection pane="bottomLeft" activeCell="B12" sqref="B12"/>
    </sheetView>
  </sheetViews>
  <sheetFormatPr baseColWidth="10" defaultColWidth="8.83203125" defaultRowHeight="15"/>
  <cols>
    <col min="1" max="1" width="22" customWidth="1"/>
    <col min="2" max="2" width="30" customWidth="1"/>
    <col min="3" max="3" width="14" customWidth="1"/>
    <col min="4" max="4" width="18" customWidth="1"/>
    <col min="5" max="5" width="15" customWidth="1"/>
    <col min="6" max="7" width="13" customWidth="1"/>
    <col min="8" max="9" width="14" customWidth="1"/>
    <col min="10" max="10" width="3" customWidth="1"/>
  </cols>
  <sheetData>
    <row r="1" spans="1:18">
      <c r="A1" s="28"/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</row>
    <row r="2" spans="1:18" ht="20">
      <c r="A2" s="1" t="s">
        <v>0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</row>
    <row r="3" spans="1:18">
      <c r="A3" s="2" t="s">
        <v>1</v>
      </c>
      <c r="B3" s="2"/>
      <c r="C3" s="2"/>
      <c r="D3" s="2"/>
      <c r="E3" s="2"/>
      <c r="F3" s="2"/>
      <c r="G3" s="2"/>
      <c r="H3" s="2"/>
      <c r="I3" s="2"/>
      <c r="J3" s="28"/>
      <c r="K3" s="28"/>
      <c r="L3" s="28"/>
      <c r="M3" s="28"/>
      <c r="N3" s="28"/>
      <c r="O3" s="28"/>
      <c r="P3" s="28"/>
      <c r="Q3" s="28"/>
      <c r="R3" s="28"/>
    </row>
    <row r="4" spans="1:18">
      <c r="A4" s="28"/>
      <c r="B4" s="28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</row>
    <row r="5" spans="1:18">
      <c r="A5" s="3" t="s">
        <v>2</v>
      </c>
      <c r="B5" s="4"/>
      <c r="C5" s="28"/>
      <c r="D5" s="3" t="s">
        <v>3</v>
      </c>
      <c r="E5" s="29">
        <f>SUMIFS(Backlog!$L$7:$L$62,Backlog!$E$7:$E$62,"Core")</f>
        <v>258</v>
      </c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</row>
    <row r="6" spans="1:18">
      <c r="A6" s="3" t="s">
        <v>4</v>
      </c>
      <c r="B6" s="5">
        <v>15</v>
      </c>
      <c r="C6" s="28"/>
      <c r="D6" s="3" t="s">
        <v>5</v>
      </c>
      <c r="E6" s="29">
        <f>SUMIFS(Backlog!$L$7:$L$62,Backlog!$E$7:$E$62,"Stretch")</f>
        <v>12</v>
      </c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</row>
    <row r="7" spans="1:18">
      <c r="A7" s="3" t="s">
        <v>533</v>
      </c>
      <c r="B7" s="3" t="s">
        <v>533</v>
      </c>
      <c r="C7" s="28"/>
      <c r="D7" s="3" t="s">
        <v>6</v>
      </c>
      <c r="E7" s="29">
        <f>$B$6*3*6</f>
        <v>270</v>
      </c>
      <c r="F7" s="28"/>
      <c r="G7" s="28"/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</row>
    <row r="8" spans="1:18">
      <c r="A8" s="3" t="s">
        <v>534</v>
      </c>
      <c r="B8" s="3" t="s">
        <v>534</v>
      </c>
      <c r="C8" s="28"/>
      <c r="D8" s="3" t="s">
        <v>7</v>
      </c>
      <c r="E8" s="29">
        <f>$B$6*6</f>
        <v>90</v>
      </c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</row>
    <row r="9" spans="1:18">
      <c r="A9" s="3" t="s">
        <v>535</v>
      </c>
      <c r="B9" s="3" t="s">
        <v>535</v>
      </c>
      <c r="C9" s="28"/>
      <c r="D9" s="3" t="s">
        <v>8</v>
      </c>
      <c r="E9" s="46" t="s">
        <v>9</v>
      </c>
      <c r="F9" s="46"/>
      <c r="G9" s="46"/>
      <c r="H9" s="46"/>
      <c r="I9" s="46"/>
      <c r="J9" s="28"/>
      <c r="K9" s="28"/>
      <c r="L9" s="28"/>
      <c r="M9" s="28"/>
      <c r="N9" s="28"/>
      <c r="O9" s="28"/>
      <c r="P9" s="28"/>
      <c r="Q9" s="28"/>
      <c r="R9" s="28"/>
    </row>
    <row r="10" spans="1:18">
      <c r="A10" s="28"/>
      <c r="B10" s="28"/>
      <c r="C10" s="28"/>
      <c r="D10" s="28"/>
      <c r="E10" s="28"/>
      <c r="F10" s="28"/>
      <c r="G10" s="28"/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</row>
    <row r="11" spans="1:18">
      <c r="A11" s="6" t="s">
        <v>10</v>
      </c>
      <c r="B11" s="28"/>
      <c r="C11" s="6" t="s">
        <v>11</v>
      </c>
      <c r="D11" s="28"/>
      <c r="E11" s="6" t="s">
        <v>12</v>
      </c>
      <c r="F11" s="28"/>
      <c r="G11" s="6" t="s">
        <v>13</v>
      </c>
      <c r="H11" s="28"/>
      <c r="I11" s="6" t="s">
        <v>14</v>
      </c>
      <c r="J11" s="28"/>
      <c r="K11" s="28"/>
      <c r="L11" s="28"/>
      <c r="M11" s="28"/>
      <c r="N11" s="28"/>
      <c r="O11" s="28"/>
      <c r="P11" s="28"/>
      <c r="Q11" s="28"/>
      <c r="R11" s="28"/>
    </row>
    <row r="12" spans="1:18" ht="18">
      <c r="A12" s="7">
        <f>COUNTA(Backlog!$A$7:$A$62)</f>
        <v>56</v>
      </c>
      <c r="B12" s="28"/>
      <c r="C12" s="7">
        <f>SUM(Backlog!$L$7:$L$62)</f>
        <v>270</v>
      </c>
      <c r="D12" s="28"/>
      <c r="E12" s="7">
        <f>COUNTBLANK(Backlog!$N$7:$N$62)</f>
        <v>56</v>
      </c>
      <c r="F12" s="28"/>
      <c r="G12" s="7">
        <f>COUNTIFS(Backlog!$P$7:$P$62,"Done")</f>
        <v>0</v>
      </c>
      <c r="H12" s="28"/>
      <c r="I12" s="8">
        <f>IF(C12=0,0,SUMIFS(Backlog!$L$7:$L$62,Backlog!$P$7:$P$62,"Done")/C12)</f>
        <v>0</v>
      </c>
      <c r="J12" s="28"/>
      <c r="K12" s="28"/>
      <c r="L12" s="28"/>
      <c r="M12" s="28"/>
      <c r="N12" s="28"/>
      <c r="O12" s="28"/>
      <c r="P12" s="28"/>
      <c r="Q12" s="28"/>
      <c r="R12" s="28"/>
    </row>
    <row r="13" spans="1:18">
      <c r="A13" s="28"/>
      <c r="B13" s="28"/>
      <c r="C13" s="28"/>
      <c r="D13" s="28"/>
      <c r="E13" s="28"/>
      <c r="F13" s="28"/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</row>
    <row r="14" spans="1:18">
      <c r="A14" s="28"/>
      <c r="B14" s="28"/>
      <c r="C14" s="28"/>
      <c r="D14" s="28"/>
      <c r="E14" s="28"/>
      <c r="F14" s="28"/>
      <c r="G14" s="28"/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</row>
    <row r="15" spans="1:18" ht="24" customHeight="1">
      <c r="A15" s="9" t="s">
        <v>15</v>
      </c>
      <c r="B15" s="9" t="s">
        <v>16</v>
      </c>
      <c r="C15" s="9" t="s">
        <v>17</v>
      </c>
      <c r="D15" s="9" t="s">
        <v>18</v>
      </c>
      <c r="E15" s="9" t="s">
        <v>19</v>
      </c>
      <c r="F15" s="9" t="s">
        <v>13</v>
      </c>
      <c r="G15" s="9" t="s">
        <v>20</v>
      </c>
      <c r="H15" s="9" t="s">
        <v>21</v>
      </c>
      <c r="I15" s="9" t="s">
        <v>22</v>
      </c>
      <c r="J15" s="28"/>
      <c r="K15" s="28"/>
      <c r="L15" s="28"/>
      <c r="M15" s="28"/>
      <c r="N15" s="28"/>
      <c r="O15" s="28"/>
      <c r="P15" s="28"/>
      <c r="Q15" s="28"/>
      <c r="R15" s="28"/>
    </row>
    <row r="16" spans="1:18" ht="24" customHeight="1">
      <c r="A16" s="10" t="str">
        <f>$B$7</f>
        <v>Trần Minh Hoài Tâm</v>
      </c>
      <c r="B16" s="13">
        <f>COUNTIFS(Backlog!$N$7:$N$62,$A16)</f>
        <v>0</v>
      </c>
      <c r="C16" s="13">
        <f>SUMIFS(Backlog!$L$7:$L$62,Backlog!$N$7:$N$62,$A16)</f>
        <v>0</v>
      </c>
      <c r="D16" s="13">
        <f>$B$6*6</f>
        <v>90</v>
      </c>
      <c r="E16" s="13">
        <f>C16-D16</f>
        <v>-90</v>
      </c>
      <c r="F16" s="13">
        <f>COUNTIFS(Backlog!$N$7:$N$62,$A16,Backlog!$P$7:$P$62,"Done")</f>
        <v>0</v>
      </c>
      <c r="G16" s="13">
        <f>SUMIFS(Backlog!$L$7:$L$62,Backlog!$N$7:$N$62,$A16,Backlog!$P$7:$P$62,"Done")</f>
        <v>0</v>
      </c>
      <c r="H16" s="16">
        <f>IF(C16=0,0,G16/C16)</f>
        <v>0</v>
      </c>
      <c r="I16" s="19">
        <f>C16-G16</f>
        <v>0</v>
      </c>
      <c r="J16" s="28"/>
      <c r="K16" s="28"/>
      <c r="L16" s="28"/>
      <c r="M16" s="28"/>
      <c r="N16" s="28"/>
      <c r="O16" s="28"/>
      <c r="P16" s="28"/>
      <c r="Q16" s="28"/>
      <c r="R16" s="28"/>
    </row>
    <row r="17" spans="1:18" ht="24" customHeight="1">
      <c r="A17" s="11" t="str">
        <f>$B$8</f>
        <v>Nguyễn Thanh Trí</v>
      </c>
      <c r="B17" s="14">
        <f>COUNTIFS(Backlog!$N$7:$N$62,$A17)</f>
        <v>0</v>
      </c>
      <c r="C17" s="14">
        <f>SUMIFS(Backlog!$L$7:$L$62,Backlog!$N$7:$N$62,$A17)</f>
        <v>0</v>
      </c>
      <c r="D17" s="14">
        <f>$B$6*6</f>
        <v>90</v>
      </c>
      <c r="E17" s="14">
        <f>C17-D17</f>
        <v>-90</v>
      </c>
      <c r="F17" s="14">
        <f>COUNTIFS(Backlog!$N$7:$N$62,$A17,Backlog!$P$7:$P$62,"Done")</f>
        <v>0</v>
      </c>
      <c r="G17" s="14">
        <f>SUMIFS(Backlog!$L$7:$L$62,Backlog!$N$7:$N$62,$A17,Backlog!$P$7:$P$62,"Done")</f>
        <v>0</v>
      </c>
      <c r="H17" s="17">
        <f>IF(C17=0,0,G17/C17)</f>
        <v>0</v>
      </c>
      <c r="I17" s="20">
        <f>C17-G17</f>
        <v>0</v>
      </c>
      <c r="J17" s="28"/>
      <c r="K17" s="28"/>
      <c r="L17" s="28"/>
      <c r="M17" s="28"/>
      <c r="N17" s="28"/>
      <c r="O17" s="28"/>
      <c r="P17" s="28"/>
      <c r="Q17" s="28"/>
      <c r="R17" s="28"/>
    </row>
    <row r="18" spans="1:18" ht="24" customHeight="1">
      <c r="A18" s="12" t="str">
        <f>$B$9</f>
        <v>Lê Thị Thuỳ Trang</v>
      </c>
      <c r="B18" s="15">
        <f>COUNTIFS(Backlog!$N$7:$N$62,$A18)</f>
        <v>0</v>
      </c>
      <c r="C18" s="15">
        <f>SUMIFS(Backlog!$L$7:$L$62,Backlog!$N$7:$N$62,$A18)</f>
        <v>0</v>
      </c>
      <c r="D18" s="15">
        <f>$B$6*6</f>
        <v>90</v>
      </c>
      <c r="E18" s="15">
        <f>C18-D18</f>
        <v>-90</v>
      </c>
      <c r="F18" s="15">
        <f>COUNTIFS(Backlog!$N$7:$N$62,$A18,Backlog!$P$7:$P$62,"Done")</f>
        <v>0</v>
      </c>
      <c r="G18" s="15">
        <f>SUMIFS(Backlog!$L$7:$L$62,Backlog!$N$7:$N$62,$A18,Backlog!$P$7:$P$62,"Done")</f>
        <v>0</v>
      </c>
      <c r="H18" s="18">
        <f>IF(C18=0,0,G18/C18)</f>
        <v>0</v>
      </c>
      <c r="I18" s="21">
        <f>C18-G18</f>
        <v>0</v>
      </c>
      <c r="J18" s="28"/>
      <c r="K18" s="28"/>
      <c r="L18" s="28"/>
      <c r="M18" s="28"/>
      <c r="N18" s="28"/>
      <c r="O18" s="28"/>
      <c r="P18" s="28"/>
      <c r="Q18" s="28"/>
      <c r="R18" s="28"/>
    </row>
    <row r="19" spans="1:18" ht="24" customHeight="1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</row>
    <row r="20" spans="1:18" ht="24" customHeight="1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</row>
    <row r="21" spans="1:18" ht="24" customHeight="1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</row>
    <row r="22" spans="1:18" ht="32" customHeight="1">
      <c r="A22" s="9" t="s">
        <v>23</v>
      </c>
      <c r="B22" s="9" t="s">
        <v>18</v>
      </c>
      <c r="C22" s="9" t="s">
        <v>11</v>
      </c>
      <c r="D22" s="9" t="s">
        <v>12</v>
      </c>
      <c r="E22" s="9" t="str">
        <f>$B$7</f>
        <v>Trần Minh Hoài Tâm</v>
      </c>
      <c r="F22" s="9" t="str">
        <f>$B$8</f>
        <v>Nguyễn Thanh Trí</v>
      </c>
      <c r="G22" s="9" t="str">
        <f>$B$9</f>
        <v>Lê Thị Thuỳ Trang</v>
      </c>
      <c r="H22" s="9" t="s">
        <v>24</v>
      </c>
      <c r="I22" s="9" t="s">
        <v>25</v>
      </c>
      <c r="J22" s="28"/>
      <c r="K22" s="28"/>
      <c r="L22" s="28"/>
      <c r="M22" s="28"/>
      <c r="N22" s="28"/>
      <c r="O22" s="28"/>
      <c r="P22" s="28"/>
      <c r="Q22" s="28"/>
      <c r="R22" s="28"/>
    </row>
    <row r="23" spans="1:18" ht="34" customHeight="1">
      <c r="A23" s="10">
        <v>1</v>
      </c>
      <c r="B23" s="30" t="s">
        <v>26</v>
      </c>
      <c r="C23" s="13">
        <f>SUMIFS(Backlog!$L$7:$L$62,Backlog!$B$7:$B$62,$A23)</f>
        <v>45</v>
      </c>
      <c r="D23" s="13">
        <f t="shared" ref="D23:D28" si="0">C23-SUM(E23:G23)</f>
        <v>45</v>
      </c>
      <c r="E23" s="13">
        <f>SUMIFS(Backlog!$L$7:$L$62,Backlog!$B$7:$B$62,$A23,Backlog!$N$7:$N$62,E$22)</f>
        <v>0</v>
      </c>
      <c r="F23" s="13">
        <f>SUMIFS(Backlog!$L$7:$L$62,Backlog!$B$7:$B$62,$A23,Backlog!$N$7:$N$62,F$22)</f>
        <v>0</v>
      </c>
      <c r="G23" s="13">
        <f>SUMIFS(Backlog!$L$7:$L$62,Backlog!$B$7:$B$62,$A23,Backlog!$N$7:$N$62,G$22)</f>
        <v>0</v>
      </c>
      <c r="H23" s="22" t="str">
        <f t="shared" ref="H23:H28" si="1">IF($B$5="","",$B$5+($A23-1)*7)</f>
        <v/>
      </c>
      <c r="I23" s="23" t="str">
        <f t="shared" ref="I23:I28" si="2">IF(H23="","",H23+6)</f>
        <v/>
      </c>
      <c r="J23" s="28"/>
      <c r="K23" s="28"/>
      <c r="L23" s="28"/>
      <c r="M23" s="28"/>
      <c r="N23" s="28"/>
      <c r="O23" s="28"/>
      <c r="P23" s="28"/>
      <c r="Q23" s="28"/>
      <c r="R23" s="28"/>
    </row>
    <row r="24" spans="1:18" ht="34" customHeight="1">
      <c r="A24" s="11">
        <v>2</v>
      </c>
      <c r="B24" s="31" t="s">
        <v>27</v>
      </c>
      <c r="C24" s="14">
        <f>SUMIFS(Backlog!$L$7:$L$62,Backlog!$B$7:$B$62,$A24)</f>
        <v>45</v>
      </c>
      <c r="D24" s="14">
        <f t="shared" si="0"/>
        <v>45</v>
      </c>
      <c r="E24" s="14">
        <f>SUMIFS(Backlog!$L$7:$L$62,Backlog!$B$7:$B$62,$A24,Backlog!$N$7:$N$62,E$22)</f>
        <v>0</v>
      </c>
      <c r="F24" s="14">
        <f>SUMIFS(Backlog!$L$7:$L$62,Backlog!$B$7:$B$62,$A24,Backlog!$N$7:$N$62,F$22)</f>
        <v>0</v>
      </c>
      <c r="G24" s="14">
        <f>SUMIFS(Backlog!$L$7:$L$62,Backlog!$B$7:$B$62,$A24,Backlog!$N$7:$N$62,G$22)</f>
        <v>0</v>
      </c>
      <c r="H24" s="24" t="str">
        <f t="shared" si="1"/>
        <v/>
      </c>
      <c r="I24" s="25" t="str">
        <f t="shared" si="2"/>
        <v/>
      </c>
      <c r="J24" s="28"/>
      <c r="K24" s="28"/>
      <c r="L24" s="28"/>
      <c r="M24" s="28"/>
      <c r="N24" s="28"/>
      <c r="O24" s="28"/>
      <c r="P24" s="28"/>
      <c r="Q24" s="28"/>
      <c r="R24" s="28"/>
    </row>
    <row r="25" spans="1:18" ht="34" customHeight="1">
      <c r="A25" s="11">
        <v>3</v>
      </c>
      <c r="B25" s="31" t="s">
        <v>28</v>
      </c>
      <c r="C25" s="14">
        <f>SUMIFS(Backlog!$L$7:$L$62,Backlog!$B$7:$B$62,$A25)</f>
        <v>45</v>
      </c>
      <c r="D25" s="14">
        <f t="shared" si="0"/>
        <v>45</v>
      </c>
      <c r="E25" s="14">
        <f>SUMIFS(Backlog!$L$7:$L$62,Backlog!$B$7:$B$62,$A25,Backlog!$N$7:$N$62,E$22)</f>
        <v>0</v>
      </c>
      <c r="F25" s="14">
        <f>SUMIFS(Backlog!$L$7:$L$62,Backlog!$B$7:$B$62,$A25,Backlog!$N$7:$N$62,F$22)</f>
        <v>0</v>
      </c>
      <c r="G25" s="14">
        <f>SUMIFS(Backlog!$L$7:$L$62,Backlog!$B$7:$B$62,$A25,Backlog!$N$7:$N$62,G$22)</f>
        <v>0</v>
      </c>
      <c r="H25" s="24" t="str">
        <f t="shared" si="1"/>
        <v/>
      </c>
      <c r="I25" s="25" t="str">
        <f t="shared" si="2"/>
        <v/>
      </c>
      <c r="J25" s="28"/>
      <c r="K25" s="28"/>
      <c r="L25" s="28"/>
      <c r="M25" s="28"/>
      <c r="N25" s="28"/>
      <c r="O25" s="28"/>
      <c r="P25" s="28"/>
      <c r="Q25" s="28"/>
      <c r="R25" s="28"/>
    </row>
    <row r="26" spans="1:18" ht="34" customHeight="1">
      <c r="A26" s="11">
        <v>4</v>
      </c>
      <c r="B26" s="31" t="s">
        <v>29</v>
      </c>
      <c r="C26" s="14">
        <f>SUMIFS(Backlog!$L$7:$L$62,Backlog!$B$7:$B$62,$A26)</f>
        <v>45</v>
      </c>
      <c r="D26" s="14">
        <f t="shared" si="0"/>
        <v>45</v>
      </c>
      <c r="E26" s="14">
        <f>SUMIFS(Backlog!$L$7:$L$62,Backlog!$B$7:$B$62,$A26,Backlog!$N$7:$N$62,E$22)</f>
        <v>0</v>
      </c>
      <c r="F26" s="14">
        <f>SUMIFS(Backlog!$L$7:$L$62,Backlog!$B$7:$B$62,$A26,Backlog!$N$7:$N$62,F$22)</f>
        <v>0</v>
      </c>
      <c r="G26" s="14">
        <f>SUMIFS(Backlog!$L$7:$L$62,Backlog!$B$7:$B$62,$A26,Backlog!$N$7:$N$62,G$22)</f>
        <v>0</v>
      </c>
      <c r="H26" s="24" t="str">
        <f t="shared" si="1"/>
        <v/>
      </c>
      <c r="I26" s="25" t="str">
        <f t="shared" si="2"/>
        <v/>
      </c>
      <c r="J26" s="28"/>
      <c r="K26" s="28"/>
      <c r="L26" s="28"/>
      <c r="M26" s="28"/>
      <c r="N26" s="28"/>
      <c r="O26" s="28"/>
      <c r="P26" s="28"/>
      <c r="Q26" s="28"/>
      <c r="R26" s="28"/>
    </row>
    <row r="27" spans="1:18" ht="34" customHeight="1">
      <c r="A27" s="11">
        <v>5</v>
      </c>
      <c r="B27" s="31" t="s">
        <v>30</v>
      </c>
      <c r="C27" s="14">
        <f>SUMIFS(Backlog!$L$7:$L$62,Backlog!$B$7:$B$62,$A27)</f>
        <v>45</v>
      </c>
      <c r="D27" s="14">
        <f t="shared" si="0"/>
        <v>45</v>
      </c>
      <c r="E27" s="14">
        <f>SUMIFS(Backlog!$L$7:$L$62,Backlog!$B$7:$B$62,$A27,Backlog!$N$7:$N$62,E$22)</f>
        <v>0</v>
      </c>
      <c r="F27" s="14">
        <f>SUMIFS(Backlog!$L$7:$L$62,Backlog!$B$7:$B$62,$A27,Backlog!$N$7:$N$62,F$22)</f>
        <v>0</v>
      </c>
      <c r="G27" s="14">
        <f>SUMIFS(Backlog!$L$7:$L$62,Backlog!$B$7:$B$62,$A27,Backlog!$N$7:$N$62,G$22)</f>
        <v>0</v>
      </c>
      <c r="H27" s="24" t="str">
        <f t="shared" si="1"/>
        <v/>
      </c>
      <c r="I27" s="25" t="str">
        <f t="shared" si="2"/>
        <v/>
      </c>
      <c r="J27" s="28"/>
      <c r="K27" s="28"/>
      <c r="L27" s="28"/>
      <c r="M27" s="28"/>
      <c r="N27" s="28"/>
      <c r="O27" s="28"/>
      <c r="P27" s="28"/>
      <c r="Q27" s="28"/>
      <c r="R27" s="28"/>
    </row>
    <row r="28" spans="1:18" ht="34" customHeight="1">
      <c r="A28" s="12">
        <v>6</v>
      </c>
      <c r="B28" s="32" t="s">
        <v>31</v>
      </c>
      <c r="C28" s="15">
        <f>SUMIFS(Backlog!$L$7:$L$62,Backlog!$B$7:$B$62,$A28)</f>
        <v>45</v>
      </c>
      <c r="D28" s="15">
        <f t="shared" si="0"/>
        <v>45</v>
      </c>
      <c r="E28" s="15">
        <f>SUMIFS(Backlog!$L$7:$L$62,Backlog!$B$7:$B$62,$A28,Backlog!$N$7:$N$62,E$22)</f>
        <v>0</v>
      </c>
      <c r="F28" s="15">
        <f>SUMIFS(Backlog!$L$7:$L$62,Backlog!$B$7:$B$62,$A28,Backlog!$N$7:$N$62,F$22)</f>
        <v>0</v>
      </c>
      <c r="G28" s="15">
        <f>SUMIFS(Backlog!$L$7:$L$62,Backlog!$B$7:$B$62,$A28,Backlog!$N$7:$N$62,G$22)</f>
        <v>0</v>
      </c>
      <c r="H28" s="26" t="str">
        <f t="shared" si="1"/>
        <v/>
      </c>
      <c r="I28" s="27" t="str">
        <f t="shared" si="2"/>
        <v/>
      </c>
      <c r="J28" s="28"/>
      <c r="K28" s="28"/>
      <c r="L28" s="28"/>
      <c r="M28" s="28"/>
      <c r="N28" s="28"/>
      <c r="O28" s="28"/>
      <c r="P28" s="28"/>
      <c r="Q28" s="28"/>
      <c r="R28" s="28"/>
    </row>
    <row r="29" spans="1:18">
      <c r="A29" s="28"/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</row>
  </sheetData>
  <mergeCells count="1">
    <mergeCell ref="E9:I9"/>
  </mergeCells>
  <conditionalFormatting sqref="D23:D28">
    <cfRule type="cellIs" dxfId="10" priority="3" operator="greaterThan">
      <formula>0</formula>
    </cfRule>
  </conditionalFormatting>
  <conditionalFormatting sqref="E16:E18">
    <cfRule type="cellIs" dxfId="9" priority="1" operator="greaterThan">
      <formula>10</formula>
    </cfRule>
    <cfRule type="cellIs" dxfId="8" priority="2" operator="lessThan">
      <formula>-10</formula>
    </cfRule>
  </conditionalFormatting>
  <dataValidations count="1">
    <dataValidation type="whole" sqref="B6" xr:uid="{00000000-0002-0000-0000-000000000000}">
      <formula1>1</formula1>
      <formula2>40</formula2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5B9BD5"/>
  </sheetPr>
  <dimension ref="A2:R62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C7" sqref="C7"/>
    </sheetView>
  </sheetViews>
  <sheetFormatPr baseColWidth="10" defaultColWidth="8.83203125" defaultRowHeight="15"/>
  <cols>
    <col min="1" max="1" width="11" customWidth="1"/>
    <col min="2" max="2" width="7" customWidth="1"/>
    <col min="3" max="3" width="19" customWidth="1"/>
    <col min="4" max="4" width="18" customWidth="1"/>
    <col min="5" max="5" width="10" customWidth="1"/>
    <col min="6" max="6" width="9" customWidth="1"/>
    <col min="7" max="7" width="32" customWidth="1"/>
    <col min="8" max="8" width="48" customWidth="1"/>
    <col min="9" max="9" width="38" customWidth="1"/>
    <col min="10" max="10" width="48" customWidth="1"/>
    <col min="11" max="11" width="22" customWidth="1"/>
    <col min="12" max="12" width="11" customWidth="1"/>
    <col min="13" max="13" width="28" customWidth="1"/>
    <col min="14" max="15" width="18" customWidth="1"/>
    <col min="16" max="16" width="16" customWidth="1"/>
    <col min="17" max="18" width="28" customWidth="1"/>
  </cols>
  <sheetData>
    <row r="2" spans="1:18" ht="20">
      <c r="A2" s="1" t="s">
        <v>32</v>
      </c>
    </row>
    <row r="3" spans="1:18">
      <c r="A3" s="2" t="s">
        <v>33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</row>
    <row r="6" spans="1:18" ht="34" customHeight="1">
      <c r="A6" s="9" t="s">
        <v>34</v>
      </c>
      <c r="B6" s="9" t="s">
        <v>23</v>
      </c>
      <c r="C6" s="9" t="s">
        <v>35</v>
      </c>
      <c r="D6" s="9" t="s">
        <v>36</v>
      </c>
      <c r="E6" s="9" t="s">
        <v>37</v>
      </c>
      <c r="F6" s="9" t="s">
        <v>38</v>
      </c>
      <c r="G6" s="9" t="s">
        <v>39</v>
      </c>
      <c r="H6" s="9" t="s">
        <v>40</v>
      </c>
      <c r="I6" s="9" t="s">
        <v>41</v>
      </c>
      <c r="J6" s="9" t="s">
        <v>42</v>
      </c>
      <c r="K6" s="9" t="s">
        <v>43</v>
      </c>
      <c r="L6" s="9" t="s">
        <v>44</v>
      </c>
      <c r="M6" s="9" t="s">
        <v>45</v>
      </c>
      <c r="N6" s="9" t="s">
        <v>46</v>
      </c>
      <c r="O6" s="9" t="s">
        <v>47</v>
      </c>
      <c r="P6" s="9" t="s">
        <v>48</v>
      </c>
      <c r="Q6" s="9" t="s">
        <v>49</v>
      </c>
      <c r="R6" s="9" t="s">
        <v>50</v>
      </c>
    </row>
    <row r="7" spans="1:18" ht="54" customHeight="1">
      <c r="A7" s="33" t="s">
        <v>51</v>
      </c>
      <c r="B7" s="33">
        <v>1</v>
      </c>
      <c r="C7" s="33" t="s">
        <v>52</v>
      </c>
      <c r="D7" s="33" t="s">
        <v>53</v>
      </c>
      <c r="E7" s="33" t="s">
        <v>54</v>
      </c>
      <c r="F7" s="33" t="s">
        <v>55</v>
      </c>
      <c r="G7" s="34" t="s">
        <v>56</v>
      </c>
      <c r="H7" s="34" t="s">
        <v>57</v>
      </c>
      <c r="I7" s="34" t="s">
        <v>58</v>
      </c>
      <c r="J7" s="34" t="s">
        <v>59</v>
      </c>
      <c r="K7" s="34" t="s">
        <v>60</v>
      </c>
      <c r="L7" s="36">
        <v>4</v>
      </c>
      <c r="M7" s="34" t="s">
        <v>61</v>
      </c>
      <c r="N7" s="35"/>
      <c r="O7" s="35"/>
      <c r="P7" s="35" t="s">
        <v>62</v>
      </c>
      <c r="Q7" s="35" t="s">
        <v>63</v>
      </c>
      <c r="R7" s="35" t="s">
        <v>64</v>
      </c>
    </row>
    <row r="8" spans="1:18" ht="54" customHeight="1">
      <c r="A8" s="33" t="s">
        <v>65</v>
      </c>
      <c r="B8" s="33">
        <v>1</v>
      </c>
      <c r="C8" s="33" t="s">
        <v>52</v>
      </c>
      <c r="D8" s="33" t="s">
        <v>66</v>
      </c>
      <c r="E8" s="33" t="s">
        <v>54</v>
      </c>
      <c r="F8" s="33" t="s">
        <v>55</v>
      </c>
      <c r="G8" s="34" t="s">
        <v>67</v>
      </c>
      <c r="H8" s="34" t="s">
        <v>68</v>
      </c>
      <c r="I8" s="34" t="s">
        <v>69</v>
      </c>
      <c r="J8" s="34" t="s">
        <v>70</v>
      </c>
      <c r="K8" s="34" t="s">
        <v>51</v>
      </c>
      <c r="L8" s="36">
        <v>4</v>
      </c>
      <c r="M8" s="34" t="s">
        <v>71</v>
      </c>
      <c r="N8" s="35"/>
      <c r="O8" s="35"/>
      <c r="P8" s="35" t="s">
        <v>72</v>
      </c>
      <c r="Q8" s="35"/>
      <c r="R8" s="35"/>
    </row>
    <row r="9" spans="1:18" ht="54" customHeight="1">
      <c r="A9" s="33" t="s">
        <v>73</v>
      </c>
      <c r="B9" s="33">
        <v>1</v>
      </c>
      <c r="C9" s="33" t="s">
        <v>52</v>
      </c>
      <c r="D9" s="33" t="s">
        <v>74</v>
      </c>
      <c r="E9" s="33" t="s">
        <v>54</v>
      </c>
      <c r="F9" s="33" t="s">
        <v>55</v>
      </c>
      <c r="G9" s="34" t="s">
        <v>75</v>
      </c>
      <c r="H9" s="34" t="s">
        <v>76</v>
      </c>
      <c r="I9" s="34" t="s">
        <v>77</v>
      </c>
      <c r="J9" s="34" t="s">
        <v>78</v>
      </c>
      <c r="K9" s="34" t="s">
        <v>65</v>
      </c>
      <c r="L9" s="36">
        <v>3</v>
      </c>
      <c r="M9" s="34" t="s">
        <v>79</v>
      </c>
      <c r="N9" s="35"/>
      <c r="O9" s="35"/>
      <c r="P9" s="35" t="s">
        <v>72</v>
      </c>
      <c r="Q9" s="35"/>
      <c r="R9" s="35"/>
    </row>
    <row r="10" spans="1:18" ht="54" customHeight="1">
      <c r="A10" s="33" t="s">
        <v>80</v>
      </c>
      <c r="B10" s="33">
        <v>1</v>
      </c>
      <c r="C10" s="33" t="s">
        <v>52</v>
      </c>
      <c r="D10" s="33" t="s">
        <v>81</v>
      </c>
      <c r="E10" s="33" t="s">
        <v>54</v>
      </c>
      <c r="F10" s="33" t="s">
        <v>55</v>
      </c>
      <c r="G10" s="34" t="s">
        <v>82</v>
      </c>
      <c r="H10" s="34" t="s">
        <v>83</v>
      </c>
      <c r="I10" s="34" t="s">
        <v>84</v>
      </c>
      <c r="J10" s="34" t="s">
        <v>85</v>
      </c>
      <c r="K10" s="34" t="s">
        <v>86</v>
      </c>
      <c r="L10" s="36">
        <v>5</v>
      </c>
      <c r="M10" s="34" t="s">
        <v>87</v>
      </c>
      <c r="N10" s="35"/>
      <c r="O10" s="35"/>
      <c r="P10" s="35" t="s">
        <v>72</v>
      </c>
      <c r="Q10" s="35"/>
      <c r="R10" s="35"/>
    </row>
    <row r="11" spans="1:18" ht="54" customHeight="1">
      <c r="A11" s="33" t="s">
        <v>88</v>
      </c>
      <c r="B11" s="33">
        <v>1</v>
      </c>
      <c r="C11" s="33" t="s">
        <v>52</v>
      </c>
      <c r="D11" s="33" t="s">
        <v>89</v>
      </c>
      <c r="E11" s="33" t="s">
        <v>54</v>
      </c>
      <c r="F11" s="33" t="s">
        <v>55</v>
      </c>
      <c r="G11" s="34" t="s">
        <v>90</v>
      </c>
      <c r="H11" s="34" t="s">
        <v>91</v>
      </c>
      <c r="I11" s="34" t="s">
        <v>92</v>
      </c>
      <c r="J11" s="34" t="s">
        <v>93</v>
      </c>
      <c r="K11" s="34" t="s">
        <v>80</v>
      </c>
      <c r="L11" s="36">
        <v>5</v>
      </c>
      <c r="M11" s="34" t="s">
        <v>94</v>
      </c>
      <c r="N11" s="35"/>
      <c r="O11" s="35"/>
      <c r="P11" s="35" t="s">
        <v>72</v>
      </c>
      <c r="Q11" s="35"/>
      <c r="R11" s="35"/>
    </row>
    <row r="12" spans="1:18" ht="54" customHeight="1">
      <c r="A12" s="33" t="s">
        <v>95</v>
      </c>
      <c r="B12" s="33">
        <v>1</v>
      </c>
      <c r="C12" s="33" t="s">
        <v>52</v>
      </c>
      <c r="D12" s="33" t="s">
        <v>96</v>
      </c>
      <c r="E12" s="33" t="s">
        <v>54</v>
      </c>
      <c r="F12" s="33" t="s">
        <v>55</v>
      </c>
      <c r="G12" s="34" t="s">
        <v>97</v>
      </c>
      <c r="H12" s="34" t="s">
        <v>98</v>
      </c>
      <c r="I12" s="34" t="s">
        <v>99</v>
      </c>
      <c r="J12" s="34" t="s">
        <v>100</v>
      </c>
      <c r="K12" s="34" t="s">
        <v>101</v>
      </c>
      <c r="L12" s="36">
        <v>7</v>
      </c>
      <c r="M12" s="34" t="s">
        <v>102</v>
      </c>
      <c r="N12" s="35"/>
      <c r="O12" s="35"/>
      <c r="P12" s="35" t="s">
        <v>72</v>
      </c>
      <c r="Q12" s="35"/>
      <c r="R12" s="35"/>
    </row>
    <row r="13" spans="1:18" ht="54" customHeight="1">
      <c r="A13" s="33" t="s">
        <v>103</v>
      </c>
      <c r="B13" s="33">
        <v>1</v>
      </c>
      <c r="C13" s="33" t="s">
        <v>52</v>
      </c>
      <c r="D13" s="33" t="s">
        <v>104</v>
      </c>
      <c r="E13" s="33" t="s">
        <v>54</v>
      </c>
      <c r="F13" s="33" t="s">
        <v>55</v>
      </c>
      <c r="G13" s="34" t="s">
        <v>105</v>
      </c>
      <c r="H13" s="34" t="s">
        <v>106</v>
      </c>
      <c r="I13" s="34" t="s">
        <v>107</v>
      </c>
      <c r="J13" s="34" t="s">
        <v>108</v>
      </c>
      <c r="K13" s="34" t="s">
        <v>109</v>
      </c>
      <c r="L13" s="36">
        <v>6</v>
      </c>
      <c r="M13" s="34" t="s">
        <v>110</v>
      </c>
      <c r="N13" s="35"/>
      <c r="O13" s="35"/>
      <c r="P13" s="35" t="s">
        <v>72</v>
      </c>
      <c r="Q13" s="35"/>
      <c r="R13" s="35"/>
    </row>
    <row r="14" spans="1:18" ht="54" customHeight="1">
      <c r="A14" s="33" t="s">
        <v>111</v>
      </c>
      <c r="B14" s="33">
        <v>1</v>
      </c>
      <c r="C14" s="33" t="s">
        <v>52</v>
      </c>
      <c r="D14" s="33" t="s">
        <v>112</v>
      </c>
      <c r="E14" s="33" t="s">
        <v>54</v>
      </c>
      <c r="F14" s="33" t="s">
        <v>113</v>
      </c>
      <c r="G14" s="34" t="s">
        <v>114</v>
      </c>
      <c r="H14" s="34" t="s">
        <v>115</v>
      </c>
      <c r="I14" s="34" t="s">
        <v>116</v>
      </c>
      <c r="J14" s="34" t="s">
        <v>117</v>
      </c>
      <c r="K14" s="34" t="s">
        <v>118</v>
      </c>
      <c r="L14" s="36">
        <v>7</v>
      </c>
      <c r="M14" s="34" t="s">
        <v>119</v>
      </c>
      <c r="N14" s="35"/>
      <c r="O14" s="35"/>
      <c r="P14" s="35" t="s">
        <v>72</v>
      </c>
      <c r="Q14" s="35"/>
      <c r="R14" s="35"/>
    </row>
    <row r="15" spans="1:18" ht="54" customHeight="1">
      <c r="A15" s="33" t="s">
        <v>120</v>
      </c>
      <c r="B15" s="33">
        <v>1</v>
      </c>
      <c r="C15" s="33" t="s">
        <v>52</v>
      </c>
      <c r="D15" s="33" t="s">
        <v>121</v>
      </c>
      <c r="E15" s="33" t="s">
        <v>54</v>
      </c>
      <c r="F15" s="33" t="s">
        <v>55</v>
      </c>
      <c r="G15" s="34" t="s">
        <v>122</v>
      </c>
      <c r="H15" s="34" t="s">
        <v>123</v>
      </c>
      <c r="I15" s="34" t="s">
        <v>124</v>
      </c>
      <c r="J15" s="34" t="s">
        <v>125</v>
      </c>
      <c r="K15" s="34" t="s">
        <v>126</v>
      </c>
      <c r="L15" s="36">
        <v>4</v>
      </c>
      <c r="M15" s="34" t="s">
        <v>127</v>
      </c>
      <c r="N15" s="35"/>
      <c r="O15" s="35"/>
      <c r="P15" s="35" t="s">
        <v>72</v>
      </c>
      <c r="Q15" s="35"/>
      <c r="R15" s="35"/>
    </row>
    <row r="16" spans="1:18" ht="54" customHeight="1">
      <c r="A16" s="33" t="s">
        <v>128</v>
      </c>
      <c r="B16" s="33">
        <v>2</v>
      </c>
      <c r="C16" s="33" t="s">
        <v>129</v>
      </c>
      <c r="D16" s="33" t="s">
        <v>130</v>
      </c>
      <c r="E16" s="33" t="s">
        <v>54</v>
      </c>
      <c r="F16" s="33" t="s">
        <v>55</v>
      </c>
      <c r="G16" s="34" t="s">
        <v>131</v>
      </c>
      <c r="H16" s="34" t="s">
        <v>132</v>
      </c>
      <c r="I16" s="34" t="s">
        <v>133</v>
      </c>
      <c r="J16" s="34" t="s">
        <v>134</v>
      </c>
      <c r="K16" s="34" t="s">
        <v>51</v>
      </c>
      <c r="L16" s="36">
        <v>4</v>
      </c>
      <c r="M16" s="34" t="s">
        <v>135</v>
      </c>
      <c r="N16" s="35"/>
      <c r="O16" s="35"/>
      <c r="P16" s="35" t="s">
        <v>72</v>
      </c>
      <c r="Q16" s="35"/>
      <c r="R16" s="35"/>
    </row>
    <row r="17" spans="1:18" ht="54" customHeight="1">
      <c r="A17" s="33" t="s">
        <v>136</v>
      </c>
      <c r="B17" s="33">
        <v>2</v>
      </c>
      <c r="C17" s="33" t="s">
        <v>129</v>
      </c>
      <c r="D17" s="33" t="s">
        <v>74</v>
      </c>
      <c r="E17" s="33" t="s">
        <v>54</v>
      </c>
      <c r="F17" s="33" t="s">
        <v>113</v>
      </c>
      <c r="G17" s="34" t="s">
        <v>137</v>
      </c>
      <c r="H17" s="34" t="s">
        <v>138</v>
      </c>
      <c r="I17" s="34" t="s">
        <v>139</v>
      </c>
      <c r="J17" s="34" t="s">
        <v>140</v>
      </c>
      <c r="K17" s="34" t="s">
        <v>141</v>
      </c>
      <c r="L17" s="36">
        <v>4</v>
      </c>
      <c r="M17" s="34" t="s">
        <v>142</v>
      </c>
      <c r="N17" s="35"/>
      <c r="O17" s="35"/>
      <c r="P17" s="35" t="s">
        <v>72</v>
      </c>
      <c r="Q17" s="35"/>
      <c r="R17" s="35"/>
    </row>
    <row r="18" spans="1:18" ht="54" customHeight="1">
      <c r="A18" s="33" t="s">
        <v>143</v>
      </c>
      <c r="B18" s="33">
        <v>2</v>
      </c>
      <c r="C18" s="33" t="s">
        <v>129</v>
      </c>
      <c r="D18" s="33" t="s">
        <v>130</v>
      </c>
      <c r="E18" s="33" t="s">
        <v>54</v>
      </c>
      <c r="F18" s="33" t="s">
        <v>55</v>
      </c>
      <c r="G18" s="34" t="s">
        <v>144</v>
      </c>
      <c r="H18" s="34" t="s">
        <v>145</v>
      </c>
      <c r="I18" s="34" t="s">
        <v>146</v>
      </c>
      <c r="J18" s="34" t="s">
        <v>147</v>
      </c>
      <c r="K18" s="34" t="s">
        <v>148</v>
      </c>
      <c r="L18" s="36">
        <v>6</v>
      </c>
      <c r="M18" s="34" t="s">
        <v>149</v>
      </c>
      <c r="N18" s="35"/>
      <c r="O18" s="35"/>
      <c r="P18" s="35" t="s">
        <v>72</v>
      </c>
      <c r="Q18" s="35"/>
      <c r="R18" s="35"/>
    </row>
    <row r="19" spans="1:18" ht="54" customHeight="1">
      <c r="A19" s="33" t="s">
        <v>150</v>
      </c>
      <c r="B19" s="33">
        <v>2</v>
      </c>
      <c r="C19" s="33" t="s">
        <v>129</v>
      </c>
      <c r="D19" s="33" t="s">
        <v>151</v>
      </c>
      <c r="E19" s="33" t="s">
        <v>54</v>
      </c>
      <c r="F19" s="33" t="s">
        <v>55</v>
      </c>
      <c r="G19" s="34" t="s">
        <v>152</v>
      </c>
      <c r="H19" s="34" t="s">
        <v>153</v>
      </c>
      <c r="I19" s="34" t="s">
        <v>154</v>
      </c>
      <c r="J19" s="34" t="s">
        <v>155</v>
      </c>
      <c r="K19" s="34" t="s">
        <v>143</v>
      </c>
      <c r="L19" s="36">
        <v>5</v>
      </c>
      <c r="M19" s="34" t="s">
        <v>156</v>
      </c>
      <c r="N19" s="35"/>
      <c r="O19" s="35"/>
      <c r="P19" s="35" t="s">
        <v>72</v>
      </c>
      <c r="Q19" s="35"/>
      <c r="R19" s="35"/>
    </row>
    <row r="20" spans="1:18" ht="54" customHeight="1">
      <c r="A20" s="33" t="s">
        <v>157</v>
      </c>
      <c r="B20" s="33">
        <v>2</v>
      </c>
      <c r="C20" s="33" t="s">
        <v>129</v>
      </c>
      <c r="D20" s="33" t="s">
        <v>89</v>
      </c>
      <c r="E20" s="33" t="s">
        <v>54</v>
      </c>
      <c r="F20" s="33" t="s">
        <v>55</v>
      </c>
      <c r="G20" s="34" t="s">
        <v>158</v>
      </c>
      <c r="H20" s="34" t="s">
        <v>159</v>
      </c>
      <c r="I20" s="34" t="s">
        <v>160</v>
      </c>
      <c r="J20" s="34" t="s">
        <v>161</v>
      </c>
      <c r="K20" s="34" t="s">
        <v>162</v>
      </c>
      <c r="L20" s="36">
        <v>6</v>
      </c>
      <c r="M20" s="34" t="s">
        <v>163</v>
      </c>
      <c r="N20" s="35"/>
      <c r="O20" s="35"/>
      <c r="P20" s="35" t="s">
        <v>72</v>
      </c>
      <c r="Q20" s="35"/>
      <c r="R20" s="35"/>
    </row>
    <row r="21" spans="1:18" ht="54" customHeight="1">
      <c r="A21" s="33" t="s">
        <v>164</v>
      </c>
      <c r="B21" s="33">
        <v>2</v>
      </c>
      <c r="C21" s="33" t="s">
        <v>129</v>
      </c>
      <c r="D21" s="33" t="s">
        <v>165</v>
      </c>
      <c r="E21" s="33" t="s">
        <v>54</v>
      </c>
      <c r="F21" s="33" t="s">
        <v>113</v>
      </c>
      <c r="G21" s="34" t="s">
        <v>166</v>
      </c>
      <c r="H21" s="34" t="s">
        <v>167</v>
      </c>
      <c r="I21" s="34" t="s">
        <v>168</v>
      </c>
      <c r="J21" s="34" t="s">
        <v>169</v>
      </c>
      <c r="K21" s="34" t="s">
        <v>157</v>
      </c>
      <c r="L21" s="36">
        <v>5</v>
      </c>
      <c r="M21" s="34" t="s">
        <v>170</v>
      </c>
      <c r="N21" s="35"/>
      <c r="O21" s="35"/>
      <c r="P21" s="35" t="s">
        <v>72</v>
      </c>
      <c r="Q21" s="35"/>
      <c r="R21" s="35"/>
    </row>
    <row r="22" spans="1:18" ht="54" customHeight="1">
      <c r="A22" s="33" t="s">
        <v>171</v>
      </c>
      <c r="B22" s="33">
        <v>2</v>
      </c>
      <c r="C22" s="33" t="s">
        <v>129</v>
      </c>
      <c r="D22" s="33" t="s">
        <v>96</v>
      </c>
      <c r="E22" s="33" t="s">
        <v>54</v>
      </c>
      <c r="F22" s="33" t="s">
        <v>55</v>
      </c>
      <c r="G22" s="34" t="s">
        <v>172</v>
      </c>
      <c r="H22" s="34" t="s">
        <v>173</v>
      </c>
      <c r="I22" s="34" t="s">
        <v>174</v>
      </c>
      <c r="J22" s="34" t="s">
        <v>175</v>
      </c>
      <c r="K22" s="34" t="s">
        <v>176</v>
      </c>
      <c r="L22" s="36">
        <v>6</v>
      </c>
      <c r="M22" s="34" t="s">
        <v>177</v>
      </c>
      <c r="N22" s="35"/>
      <c r="O22" s="35"/>
      <c r="P22" s="35" t="s">
        <v>72</v>
      </c>
      <c r="Q22" s="35"/>
      <c r="R22" s="35"/>
    </row>
    <row r="23" spans="1:18" ht="54" customHeight="1">
      <c r="A23" s="33" t="s">
        <v>178</v>
      </c>
      <c r="B23" s="33">
        <v>2</v>
      </c>
      <c r="C23" s="33" t="s">
        <v>129</v>
      </c>
      <c r="D23" s="33" t="s">
        <v>121</v>
      </c>
      <c r="E23" s="33" t="s">
        <v>54</v>
      </c>
      <c r="F23" s="33" t="s">
        <v>113</v>
      </c>
      <c r="G23" s="34" t="s">
        <v>179</v>
      </c>
      <c r="H23" s="34" t="s">
        <v>180</v>
      </c>
      <c r="I23" s="34" t="s">
        <v>181</v>
      </c>
      <c r="J23" s="34" t="s">
        <v>182</v>
      </c>
      <c r="K23" s="34" t="s">
        <v>183</v>
      </c>
      <c r="L23" s="36">
        <v>5</v>
      </c>
      <c r="M23" s="34" t="s">
        <v>184</v>
      </c>
      <c r="N23" s="35"/>
      <c r="O23" s="35"/>
      <c r="P23" s="35" t="s">
        <v>72</v>
      </c>
      <c r="Q23" s="35"/>
      <c r="R23" s="35"/>
    </row>
    <row r="24" spans="1:18" ht="54" customHeight="1">
      <c r="A24" s="33" t="s">
        <v>185</v>
      </c>
      <c r="B24" s="33">
        <v>2</v>
      </c>
      <c r="C24" s="33" t="s">
        <v>129</v>
      </c>
      <c r="D24" s="33" t="s">
        <v>121</v>
      </c>
      <c r="E24" s="33" t="s">
        <v>54</v>
      </c>
      <c r="F24" s="33" t="s">
        <v>55</v>
      </c>
      <c r="G24" s="34" t="s">
        <v>186</v>
      </c>
      <c r="H24" s="34" t="s">
        <v>187</v>
      </c>
      <c r="I24" s="34" t="s">
        <v>188</v>
      </c>
      <c r="J24" s="34" t="s">
        <v>189</v>
      </c>
      <c r="K24" s="34" t="s">
        <v>190</v>
      </c>
      <c r="L24" s="36">
        <v>4</v>
      </c>
      <c r="M24" s="34" t="s">
        <v>191</v>
      </c>
      <c r="N24" s="35"/>
      <c r="O24" s="35"/>
      <c r="P24" s="35" t="s">
        <v>72</v>
      </c>
      <c r="Q24" s="35"/>
      <c r="R24" s="35"/>
    </row>
    <row r="25" spans="1:18" ht="54" customHeight="1">
      <c r="A25" s="33" t="s">
        <v>192</v>
      </c>
      <c r="B25" s="33">
        <v>3</v>
      </c>
      <c r="C25" s="33" t="s">
        <v>193</v>
      </c>
      <c r="D25" s="33" t="s">
        <v>194</v>
      </c>
      <c r="E25" s="33" t="s">
        <v>54</v>
      </c>
      <c r="F25" s="33" t="s">
        <v>55</v>
      </c>
      <c r="G25" s="34" t="s">
        <v>195</v>
      </c>
      <c r="H25" s="34" t="s">
        <v>196</v>
      </c>
      <c r="I25" s="34" t="s">
        <v>197</v>
      </c>
      <c r="J25" s="34" t="s">
        <v>198</v>
      </c>
      <c r="K25" s="34" t="s">
        <v>185</v>
      </c>
      <c r="L25" s="36">
        <v>4</v>
      </c>
      <c r="M25" s="34" t="s">
        <v>199</v>
      </c>
      <c r="N25" s="35"/>
      <c r="O25" s="35"/>
      <c r="P25" s="35" t="s">
        <v>72</v>
      </c>
      <c r="Q25" s="35"/>
      <c r="R25" s="35"/>
    </row>
    <row r="26" spans="1:18" ht="54" customHeight="1">
      <c r="A26" s="33" t="s">
        <v>200</v>
      </c>
      <c r="B26" s="33">
        <v>3</v>
      </c>
      <c r="C26" s="33" t="s">
        <v>193</v>
      </c>
      <c r="D26" s="33" t="s">
        <v>96</v>
      </c>
      <c r="E26" s="33" t="s">
        <v>54</v>
      </c>
      <c r="F26" s="33" t="s">
        <v>55</v>
      </c>
      <c r="G26" s="34" t="s">
        <v>201</v>
      </c>
      <c r="H26" s="34" t="s">
        <v>202</v>
      </c>
      <c r="I26" s="34" t="s">
        <v>203</v>
      </c>
      <c r="J26" s="34" t="s">
        <v>204</v>
      </c>
      <c r="K26" s="34" t="s">
        <v>205</v>
      </c>
      <c r="L26" s="36">
        <v>5</v>
      </c>
      <c r="M26" s="34" t="s">
        <v>206</v>
      </c>
      <c r="N26" s="35"/>
      <c r="O26" s="35"/>
      <c r="P26" s="35" t="s">
        <v>72</v>
      </c>
      <c r="Q26" s="35"/>
      <c r="R26" s="35"/>
    </row>
    <row r="27" spans="1:18" ht="54" customHeight="1">
      <c r="A27" s="33" t="s">
        <v>207</v>
      </c>
      <c r="B27" s="33">
        <v>3</v>
      </c>
      <c r="C27" s="33" t="s">
        <v>193</v>
      </c>
      <c r="D27" s="33" t="s">
        <v>104</v>
      </c>
      <c r="E27" s="33" t="s">
        <v>54</v>
      </c>
      <c r="F27" s="33" t="s">
        <v>55</v>
      </c>
      <c r="G27" s="34" t="s">
        <v>208</v>
      </c>
      <c r="H27" s="34" t="s">
        <v>209</v>
      </c>
      <c r="I27" s="34" t="s">
        <v>210</v>
      </c>
      <c r="J27" s="34" t="s">
        <v>211</v>
      </c>
      <c r="K27" s="34" t="s">
        <v>212</v>
      </c>
      <c r="L27" s="36">
        <v>6</v>
      </c>
      <c r="M27" s="34" t="s">
        <v>213</v>
      </c>
      <c r="N27" s="35"/>
      <c r="O27" s="35"/>
      <c r="P27" s="35" t="s">
        <v>72</v>
      </c>
      <c r="Q27" s="35"/>
      <c r="R27" s="35"/>
    </row>
    <row r="28" spans="1:18" ht="54" customHeight="1">
      <c r="A28" s="33" t="s">
        <v>214</v>
      </c>
      <c r="B28" s="33">
        <v>3</v>
      </c>
      <c r="C28" s="33" t="s">
        <v>193</v>
      </c>
      <c r="D28" s="33" t="s">
        <v>104</v>
      </c>
      <c r="E28" s="33" t="s">
        <v>54</v>
      </c>
      <c r="F28" s="33" t="s">
        <v>55</v>
      </c>
      <c r="G28" s="34" t="s">
        <v>215</v>
      </c>
      <c r="H28" s="34" t="s">
        <v>216</v>
      </c>
      <c r="I28" s="34" t="s">
        <v>217</v>
      </c>
      <c r="J28" s="34" t="s">
        <v>218</v>
      </c>
      <c r="K28" s="34" t="s">
        <v>207</v>
      </c>
      <c r="L28" s="36">
        <v>5</v>
      </c>
      <c r="M28" s="34" t="s">
        <v>219</v>
      </c>
      <c r="N28" s="35"/>
      <c r="O28" s="35"/>
      <c r="P28" s="35" t="s">
        <v>72</v>
      </c>
      <c r="Q28" s="35"/>
      <c r="R28" s="35"/>
    </row>
    <row r="29" spans="1:18" ht="54" customHeight="1">
      <c r="A29" s="33" t="s">
        <v>220</v>
      </c>
      <c r="B29" s="33">
        <v>3</v>
      </c>
      <c r="C29" s="33" t="s">
        <v>193</v>
      </c>
      <c r="D29" s="33" t="s">
        <v>151</v>
      </c>
      <c r="E29" s="33" t="s">
        <v>54</v>
      </c>
      <c r="F29" s="33" t="s">
        <v>55</v>
      </c>
      <c r="G29" s="34" t="s">
        <v>221</v>
      </c>
      <c r="H29" s="34" t="s">
        <v>222</v>
      </c>
      <c r="I29" s="34" t="s">
        <v>223</v>
      </c>
      <c r="J29" s="34" t="s">
        <v>224</v>
      </c>
      <c r="K29" s="34" t="s">
        <v>214</v>
      </c>
      <c r="L29" s="36">
        <v>6</v>
      </c>
      <c r="M29" s="34" t="s">
        <v>225</v>
      </c>
      <c r="N29" s="35"/>
      <c r="O29" s="35"/>
      <c r="P29" s="35" t="s">
        <v>72</v>
      </c>
      <c r="Q29" s="35"/>
      <c r="R29" s="35"/>
    </row>
    <row r="30" spans="1:18" ht="54" customHeight="1">
      <c r="A30" s="33" t="s">
        <v>226</v>
      </c>
      <c r="B30" s="33">
        <v>3</v>
      </c>
      <c r="C30" s="33" t="s">
        <v>193</v>
      </c>
      <c r="D30" s="33" t="s">
        <v>104</v>
      </c>
      <c r="E30" s="33" t="s">
        <v>54</v>
      </c>
      <c r="F30" s="33" t="s">
        <v>55</v>
      </c>
      <c r="G30" s="34" t="s">
        <v>227</v>
      </c>
      <c r="H30" s="34" t="s">
        <v>228</v>
      </c>
      <c r="I30" s="34" t="s">
        <v>229</v>
      </c>
      <c r="J30" s="34" t="s">
        <v>230</v>
      </c>
      <c r="K30" s="34" t="s">
        <v>231</v>
      </c>
      <c r="L30" s="36">
        <v>6</v>
      </c>
      <c r="M30" s="34" t="s">
        <v>232</v>
      </c>
      <c r="N30" s="35"/>
      <c r="O30" s="35"/>
      <c r="P30" s="35" t="s">
        <v>72</v>
      </c>
      <c r="Q30" s="35"/>
      <c r="R30" s="35"/>
    </row>
    <row r="31" spans="1:18" ht="54" customHeight="1">
      <c r="A31" s="33" t="s">
        <v>233</v>
      </c>
      <c r="B31" s="33">
        <v>3</v>
      </c>
      <c r="C31" s="33" t="s">
        <v>193</v>
      </c>
      <c r="D31" s="33" t="s">
        <v>89</v>
      </c>
      <c r="E31" s="33" t="s">
        <v>54</v>
      </c>
      <c r="F31" s="33" t="s">
        <v>55</v>
      </c>
      <c r="G31" s="34" t="s">
        <v>234</v>
      </c>
      <c r="H31" s="34" t="s">
        <v>235</v>
      </c>
      <c r="I31" s="34" t="s">
        <v>236</v>
      </c>
      <c r="J31" s="34" t="s">
        <v>237</v>
      </c>
      <c r="K31" s="34" t="s">
        <v>238</v>
      </c>
      <c r="L31" s="36">
        <v>5</v>
      </c>
      <c r="M31" s="34" t="s">
        <v>239</v>
      </c>
      <c r="N31" s="35"/>
      <c r="O31" s="35"/>
      <c r="P31" s="35" t="s">
        <v>72</v>
      </c>
      <c r="Q31" s="35"/>
      <c r="R31" s="35"/>
    </row>
    <row r="32" spans="1:18" ht="54" customHeight="1">
      <c r="A32" s="33" t="s">
        <v>240</v>
      </c>
      <c r="B32" s="33">
        <v>3</v>
      </c>
      <c r="C32" s="33" t="s">
        <v>193</v>
      </c>
      <c r="D32" s="33" t="s">
        <v>96</v>
      </c>
      <c r="E32" s="33" t="s">
        <v>54</v>
      </c>
      <c r="F32" s="33" t="s">
        <v>55</v>
      </c>
      <c r="G32" s="34" t="s">
        <v>241</v>
      </c>
      <c r="H32" s="34" t="s">
        <v>242</v>
      </c>
      <c r="I32" s="34" t="s">
        <v>243</v>
      </c>
      <c r="J32" s="34" t="s">
        <v>244</v>
      </c>
      <c r="K32" s="34" t="s">
        <v>245</v>
      </c>
      <c r="L32" s="36">
        <v>4</v>
      </c>
      <c r="M32" s="34" t="s">
        <v>246</v>
      </c>
      <c r="N32" s="35"/>
      <c r="O32" s="35"/>
      <c r="P32" s="35" t="s">
        <v>72</v>
      </c>
      <c r="Q32" s="35"/>
      <c r="R32" s="35"/>
    </row>
    <row r="33" spans="1:18" ht="54" customHeight="1">
      <c r="A33" s="33" t="s">
        <v>247</v>
      </c>
      <c r="B33" s="33">
        <v>3</v>
      </c>
      <c r="C33" s="33" t="s">
        <v>193</v>
      </c>
      <c r="D33" s="33" t="s">
        <v>121</v>
      </c>
      <c r="E33" s="33" t="s">
        <v>54</v>
      </c>
      <c r="F33" s="33" t="s">
        <v>55</v>
      </c>
      <c r="G33" s="34" t="s">
        <v>248</v>
      </c>
      <c r="H33" s="34" t="s">
        <v>249</v>
      </c>
      <c r="I33" s="34" t="s">
        <v>250</v>
      </c>
      <c r="J33" s="34" t="s">
        <v>251</v>
      </c>
      <c r="K33" s="34" t="s">
        <v>240</v>
      </c>
      <c r="L33" s="36">
        <v>4</v>
      </c>
      <c r="M33" s="34" t="s">
        <v>252</v>
      </c>
      <c r="N33" s="35"/>
      <c r="O33" s="35"/>
      <c r="P33" s="35" t="s">
        <v>72</v>
      </c>
      <c r="Q33" s="35"/>
      <c r="R33" s="35"/>
    </row>
    <row r="34" spans="1:18" ht="54" customHeight="1">
      <c r="A34" s="33" t="s">
        <v>253</v>
      </c>
      <c r="B34" s="33">
        <v>4</v>
      </c>
      <c r="C34" s="33" t="s">
        <v>254</v>
      </c>
      <c r="D34" s="33" t="s">
        <v>255</v>
      </c>
      <c r="E34" s="33" t="s">
        <v>54</v>
      </c>
      <c r="F34" s="33" t="s">
        <v>55</v>
      </c>
      <c r="G34" s="34" t="s">
        <v>256</v>
      </c>
      <c r="H34" s="34" t="s">
        <v>257</v>
      </c>
      <c r="I34" s="34" t="s">
        <v>258</v>
      </c>
      <c r="J34" s="34" t="s">
        <v>259</v>
      </c>
      <c r="K34" s="34" t="s">
        <v>247</v>
      </c>
      <c r="L34" s="36">
        <v>4</v>
      </c>
      <c r="M34" s="34" t="s">
        <v>260</v>
      </c>
      <c r="N34" s="35"/>
      <c r="O34" s="35"/>
      <c r="P34" s="35" t="s">
        <v>72</v>
      </c>
      <c r="Q34" s="35"/>
      <c r="R34" s="35"/>
    </row>
    <row r="35" spans="1:18" ht="54" customHeight="1">
      <c r="A35" s="33" t="s">
        <v>261</v>
      </c>
      <c r="B35" s="33">
        <v>4</v>
      </c>
      <c r="C35" s="33" t="s">
        <v>254</v>
      </c>
      <c r="D35" s="33" t="s">
        <v>262</v>
      </c>
      <c r="E35" s="33" t="s">
        <v>263</v>
      </c>
      <c r="F35" s="33" t="s">
        <v>264</v>
      </c>
      <c r="G35" s="34" t="s">
        <v>265</v>
      </c>
      <c r="H35" s="34" t="s">
        <v>266</v>
      </c>
      <c r="I35" s="34" t="s">
        <v>267</v>
      </c>
      <c r="J35" s="34" t="s">
        <v>268</v>
      </c>
      <c r="K35" s="34" t="s">
        <v>269</v>
      </c>
      <c r="L35" s="36">
        <v>5</v>
      </c>
      <c r="M35" s="34" t="s">
        <v>270</v>
      </c>
      <c r="N35" s="35"/>
      <c r="O35" s="35"/>
      <c r="P35" s="35" t="s">
        <v>72</v>
      </c>
      <c r="Q35" s="35"/>
      <c r="R35" s="35"/>
    </row>
    <row r="36" spans="1:18" ht="54" customHeight="1">
      <c r="A36" s="33" t="s">
        <v>271</v>
      </c>
      <c r="B36" s="33">
        <v>4</v>
      </c>
      <c r="C36" s="33" t="s">
        <v>254</v>
      </c>
      <c r="D36" s="33" t="s">
        <v>272</v>
      </c>
      <c r="E36" s="33" t="s">
        <v>263</v>
      </c>
      <c r="F36" s="33" t="s">
        <v>264</v>
      </c>
      <c r="G36" s="34" t="s">
        <v>273</v>
      </c>
      <c r="H36" s="34" t="s">
        <v>274</v>
      </c>
      <c r="I36" s="34" t="s">
        <v>275</v>
      </c>
      <c r="J36" s="34" t="s">
        <v>276</v>
      </c>
      <c r="K36" s="34" t="s">
        <v>277</v>
      </c>
      <c r="L36" s="36">
        <v>7</v>
      </c>
      <c r="M36" s="34" t="s">
        <v>278</v>
      </c>
      <c r="N36" s="35"/>
      <c r="O36" s="35"/>
      <c r="P36" s="35" t="s">
        <v>72</v>
      </c>
      <c r="Q36" s="35"/>
      <c r="R36" s="35"/>
    </row>
    <row r="37" spans="1:18" ht="54" customHeight="1">
      <c r="A37" s="33" t="s">
        <v>279</v>
      </c>
      <c r="B37" s="33">
        <v>4</v>
      </c>
      <c r="C37" s="33" t="s">
        <v>254</v>
      </c>
      <c r="D37" s="33" t="s">
        <v>104</v>
      </c>
      <c r="E37" s="33" t="s">
        <v>54</v>
      </c>
      <c r="F37" s="33" t="s">
        <v>113</v>
      </c>
      <c r="G37" s="34" t="s">
        <v>280</v>
      </c>
      <c r="H37" s="34" t="s">
        <v>281</v>
      </c>
      <c r="I37" s="34" t="s">
        <v>282</v>
      </c>
      <c r="J37" s="34" t="s">
        <v>283</v>
      </c>
      <c r="K37" s="34" t="s">
        <v>284</v>
      </c>
      <c r="L37" s="36">
        <v>4</v>
      </c>
      <c r="M37" s="34" t="s">
        <v>285</v>
      </c>
      <c r="N37" s="35"/>
      <c r="O37" s="35"/>
      <c r="P37" s="35" t="s">
        <v>72</v>
      </c>
      <c r="Q37" s="35"/>
      <c r="R37" s="35"/>
    </row>
    <row r="38" spans="1:18" ht="54" customHeight="1">
      <c r="A38" s="33" t="s">
        <v>286</v>
      </c>
      <c r="B38" s="33">
        <v>4</v>
      </c>
      <c r="C38" s="33" t="s">
        <v>254</v>
      </c>
      <c r="D38" s="33" t="s">
        <v>104</v>
      </c>
      <c r="E38" s="33" t="s">
        <v>54</v>
      </c>
      <c r="F38" s="33" t="s">
        <v>55</v>
      </c>
      <c r="G38" s="34" t="s">
        <v>287</v>
      </c>
      <c r="H38" s="34" t="s">
        <v>288</v>
      </c>
      <c r="I38" s="34" t="s">
        <v>289</v>
      </c>
      <c r="J38" s="34" t="s">
        <v>290</v>
      </c>
      <c r="K38" s="34" t="s">
        <v>291</v>
      </c>
      <c r="L38" s="36">
        <v>5</v>
      </c>
      <c r="M38" s="34" t="s">
        <v>292</v>
      </c>
      <c r="N38" s="35"/>
      <c r="O38" s="35"/>
      <c r="P38" s="35" t="s">
        <v>72</v>
      </c>
      <c r="Q38" s="35"/>
      <c r="R38" s="35"/>
    </row>
    <row r="39" spans="1:18" ht="54" customHeight="1">
      <c r="A39" s="33" t="s">
        <v>293</v>
      </c>
      <c r="B39" s="33">
        <v>4</v>
      </c>
      <c r="C39" s="33" t="s">
        <v>254</v>
      </c>
      <c r="D39" s="33" t="s">
        <v>294</v>
      </c>
      <c r="E39" s="33" t="s">
        <v>54</v>
      </c>
      <c r="F39" s="33" t="s">
        <v>113</v>
      </c>
      <c r="G39" s="34" t="s">
        <v>295</v>
      </c>
      <c r="H39" s="34" t="s">
        <v>296</v>
      </c>
      <c r="I39" s="34" t="s">
        <v>297</v>
      </c>
      <c r="J39" s="34" t="s">
        <v>298</v>
      </c>
      <c r="K39" s="34" t="s">
        <v>286</v>
      </c>
      <c r="L39" s="36">
        <v>5</v>
      </c>
      <c r="M39" s="34" t="s">
        <v>299</v>
      </c>
      <c r="N39" s="35"/>
      <c r="O39" s="35"/>
      <c r="P39" s="35" t="s">
        <v>72</v>
      </c>
      <c r="Q39" s="35"/>
      <c r="R39" s="35"/>
    </row>
    <row r="40" spans="1:18" ht="54" customHeight="1">
      <c r="A40" s="33" t="s">
        <v>300</v>
      </c>
      <c r="B40" s="33">
        <v>4</v>
      </c>
      <c r="C40" s="33" t="s">
        <v>254</v>
      </c>
      <c r="D40" s="33" t="s">
        <v>301</v>
      </c>
      <c r="E40" s="33" t="s">
        <v>54</v>
      </c>
      <c r="F40" s="33" t="s">
        <v>55</v>
      </c>
      <c r="G40" s="34" t="s">
        <v>302</v>
      </c>
      <c r="H40" s="34" t="s">
        <v>303</v>
      </c>
      <c r="I40" s="34" t="s">
        <v>304</v>
      </c>
      <c r="J40" s="34" t="s">
        <v>305</v>
      </c>
      <c r="K40" s="34" t="s">
        <v>306</v>
      </c>
      <c r="L40" s="36">
        <v>7</v>
      </c>
      <c r="M40" s="34" t="s">
        <v>307</v>
      </c>
      <c r="N40" s="35"/>
      <c r="O40" s="35"/>
      <c r="P40" s="35" t="s">
        <v>72</v>
      </c>
      <c r="Q40" s="35"/>
      <c r="R40" s="35"/>
    </row>
    <row r="41" spans="1:18" ht="54" customHeight="1">
      <c r="A41" s="33" t="s">
        <v>308</v>
      </c>
      <c r="B41" s="33">
        <v>4</v>
      </c>
      <c r="C41" s="33" t="s">
        <v>254</v>
      </c>
      <c r="D41" s="33" t="s">
        <v>112</v>
      </c>
      <c r="E41" s="33" t="s">
        <v>54</v>
      </c>
      <c r="F41" s="33" t="s">
        <v>55</v>
      </c>
      <c r="G41" s="34" t="s">
        <v>309</v>
      </c>
      <c r="H41" s="34" t="s">
        <v>310</v>
      </c>
      <c r="I41" s="34" t="s">
        <v>311</v>
      </c>
      <c r="J41" s="34" t="s">
        <v>312</v>
      </c>
      <c r="K41" s="34" t="s">
        <v>300</v>
      </c>
      <c r="L41" s="36">
        <v>4</v>
      </c>
      <c r="M41" s="34" t="s">
        <v>313</v>
      </c>
      <c r="N41" s="35"/>
      <c r="O41" s="35"/>
      <c r="P41" s="35" t="s">
        <v>72</v>
      </c>
      <c r="Q41" s="35"/>
      <c r="R41" s="35"/>
    </row>
    <row r="42" spans="1:18" ht="54" customHeight="1">
      <c r="A42" s="33" t="s">
        <v>314</v>
      </c>
      <c r="B42" s="33">
        <v>4</v>
      </c>
      <c r="C42" s="33" t="s">
        <v>254</v>
      </c>
      <c r="D42" s="33" t="s">
        <v>151</v>
      </c>
      <c r="E42" s="33" t="s">
        <v>54</v>
      </c>
      <c r="F42" s="33" t="s">
        <v>55</v>
      </c>
      <c r="G42" s="34" t="s">
        <v>315</v>
      </c>
      <c r="H42" s="34" t="s">
        <v>316</v>
      </c>
      <c r="I42" s="34" t="s">
        <v>317</v>
      </c>
      <c r="J42" s="34" t="s">
        <v>318</v>
      </c>
      <c r="K42" s="34" t="s">
        <v>319</v>
      </c>
      <c r="L42" s="36">
        <v>4</v>
      </c>
      <c r="M42" s="34" t="s">
        <v>320</v>
      </c>
      <c r="N42" s="35"/>
      <c r="O42" s="35"/>
      <c r="P42" s="35" t="s">
        <v>72</v>
      </c>
      <c r="Q42" s="35"/>
      <c r="R42" s="35"/>
    </row>
    <row r="43" spans="1:18" ht="54" customHeight="1">
      <c r="A43" s="33" t="s">
        <v>321</v>
      </c>
      <c r="B43" s="33">
        <v>5</v>
      </c>
      <c r="C43" s="33" t="s">
        <v>322</v>
      </c>
      <c r="D43" s="33" t="s">
        <v>96</v>
      </c>
      <c r="E43" s="33" t="s">
        <v>54</v>
      </c>
      <c r="F43" s="33" t="s">
        <v>55</v>
      </c>
      <c r="G43" s="34" t="s">
        <v>323</v>
      </c>
      <c r="H43" s="34" t="s">
        <v>324</v>
      </c>
      <c r="I43" s="34" t="s">
        <v>325</v>
      </c>
      <c r="J43" s="34" t="s">
        <v>326</v>
      </c>
      <c r="K43" s="34" t="s">
        <v>327</v>
      </c>
      <c r="L43" s="36">
        <v>5</v>
      </c>
      <c r="M43" s="34" t="s">
        <v>328</v>
      </c>
      <c r="N43" s="35"/>
      <c r="O43" s="35"/>
      <c r="P43" s="35" t="s">
        <v>72</v>
      </c>
      <c r="Q43" s="35"/>
      <c r="R43" s="35"/>
    </row>
    <row r="44" spans="1:18" ht="54" customHeight="1">
      <c r="A44" s="33" t="s">
        <v>329</v>
      </c>
      <c r="B44" s="33">
        <v>5</v>
      </c>
      <c r="C44" s="33" t="s">
        <v>322</v>
      </c>
      <c r="D44" s="33" t="s">
        <v>165</v>
      </c>
      <c r="E44" s="33" t="s">
        <v>54</v>
      </c>
      <c r="F44" s="33" t="s">
        <v>113</v>
      </c>
      <c r="G44" s="34" t="s">
        <v>330</v>
      </c>
      <c r="H44" s="34" t="s">
        <v>331</v>
      </c>
      <c r="I44" s="34" t="s">
        <v>332</v>
      </c>
      <c r="J44" s="34" t="s">
        <v>333</v>
      </c>
      <c r="K44" s="34" t="s">
        <v>321</v>
      </c>
      <c r="L44" s="36">
        <v>4</v>
      </c>
      <c r="M44" s="34" t="s">
        <v>334</v>
      </c>
      <c r="N44" s="35"/>
      <c r="O44" s="35"/>
      <c r="P44" s="35" t="s">
        <v>72</v>
      </c>
      <c r="Q44" s="35"/>
      <c r="R44" s="35"/>
    </row>
    <row r="45" spans="1:18" ht="54" customHeight="1">
      <c r="A45" s="33" t="s">
        <v>335</v>
      </c>
      <c r="B45" s="33">
        <v>5</v>
      </c>
      <c r="C45" s="33" t="s">
        <v>322</v>
      </c>
      <c r="D45" s="33" t="s">
        <v>336</v>
      </c>
      <c r="E45" s="33" t="s">
        <v>54</v>
      </c>
      <c r="F45" s="33" t="s">
        <v>55</v>
      </c>
      <c r="G45" s="34" t="s">
        <v>337</v>
      </c>
      <c r="H45" s="34" t="s">
        <v>338</v>
      </c>
      <c r="I45" s="34" t="s">
        <v>339</v>
      </c>
      <c r="J45" s="34" t="s">
        <v>340</v>
      </c>
      <c r="K45" s="34" t="s">
        <v>341</v>
      </c>
      <c r="L45" s="36">
        <v>5</v>
      </c>
      <c r="M45" s="34" t="s">
        <v>342</v>
      </c>
      <c r="N45" s="35"/>
      <c r="O45" s="35"/>
      <c r="P45" s="35" t="s">
        <v>72</v>
      </c>
      <c r="Q45" s="35"/>
      <c r="R45" s="35"/>
    </row>
    <row r="46" spans="1:18" ht="54" customHeight="1">
      <c r="A46" s="33" t="s">
        <v>343</v>
      </c>
      <c r="B46" s="33">
        <v>5</v>
      </c>
      <c r="C46" s="33" t="s">
        <v>322</v>
      </c>
      <c r="D46" s="33" t="s">
        <v>344</v>
      </c>
      <c r="E46" s="33" t="s">
        <v>54</v>
      </c>
      <c r="F46" s="33" t="s">
        <v>113</v>
      </c>
      <c r="G46" s="34" t="s">
        <v>345</v>
      </c>
      <c r="H46" s="34" t="s">
        <v>346</v>
      </c>
      <c r="I46" s="34" t="s">
        <v>347</v>
      </c>
      <c r="J46" s="34" t="s">
        <v>348</v>
      </c>
      <c r="K46" s="34" t="s">
        <v>321</v>
      </c>
      <c r="L46" s="36">
        <v>4</v>
      </c>
      <c r="M46" s="34" t="s">
        <v>349</v>
      </c>
      <c r="N46" s="35"/>
      <c r="O46" s="35"/>
      <c r="P46" s="35" t="s">
        <v>72</v>
      </c>
      <c r="Q46" s="35"/>
      <c r="R46" s="35"/>
    </row>
    <row r="47" spans="1:18" ht="54" customHeight="1">
      <c r="A47" s="33" t="s">
        <v>350</v>
      </c>
      <c r="B47" s="33">
        <v>5</v>
      </c>
      <c r="C47" s="33" t="s">
        <v>322</v>
      </c>
      <c r="D47" s="33" t="s">
        <v>112</v>
      </c>
      <c r="E47" s="33" t="s">
        <v>54</v>
      </c>
      <c r="F47" s="33" t="s">
        <v>55</v>
      </c>
      <c r="G47" s="34" t="s">
        <v>351</v>
      </c>
      <c r="H47" s="34" t="s">
        <v>352</v>
      </c>
      <c r="I47" s="34" t="s">
        <v>353</v>
      </c>
      <c r="J47" s="34" t="s">
        <v>354</v>
      </c>
      <c r="K47" s="34" t="s">
        <v>308</v>
      </c>
      <c r="L47" s="36">
        <v>4</v>
      </c>
      <c r="M47" s="34" t="s">
        <v>355</v>
      </c>
      <c r="N47" s="35"/>
      <c r="O47" s="35"/>
      <c r="P47" s="35" t="s">
        <v>72</v>
      </c>
      <c r="Q47" s="35"/>
      <c r="R47" s="35"/>
    </row>
    <row r="48" spans="1:18" ht="54" customHeight="1">
      <c r="A48" s="33" t="s">
        <v>356</v>
      </c>
      <c r="B48" s="33">
        <v>5</v>
      </c>
      <c r="C48" s="33" t="s">
        <v>322</v>
      </c>
      <c r="D48" s="33" t="s">
        <v>357</v>
      </c>
      <c r="E48" s="33" t="s">
        <v>54</v>
      </c>
      <c r="F48" s="33" t="s">
        <v>55</v>
      </c>
      <c r="G48" s="34" t="s">
        <v>358</v>
      </c>
      <c r="H48" s="34" t="s">
        <v>359</v>
      </c>
      <c r="I48" s="34" t="s">
        <v>360</v>
      </c>
      <c r="J48" s="34" t="s">
        <v>361</v>
      </c>
      <c r="K48" s="34" t="s">
        <v>362</v>
      </c>
      <c r="L48" s="36">
        <v>4</v>
      </c>
      <c r="M48" s="34" t="s">
        <v>363</v>
      </c>
      <c r="N48" s="35"/>
      <c r="O48" s="35"/>
      <c r="P48" s="35" t="s">
        <v>72</v>
      </c>
      <c r="Q48" s="35"/>
      <c r="R48" s="35"/>
    </row>
    <row r="49" spans="1:18" ht="54" customHeight="1">
      <c r="A49" s="33" t="s">
        <v>364</v>
      </c>
      <c r="B49" s="33">
        <v>5</v>
      </c>
      <c r="C49" s="33" t="s">
        <v>322</v>
      </c>
      <c r="D49" s="33" t="s">
        <v>357</v>
      </c>
      <c r="E49" s="33" t="s">
        <v>54</v>
      </c>
      <c r="F49" s="33" t="s">
        <v>55</v>
      </c>
      <c r="G49" s="34" t="s">
        <v>365</v>
      </c>
      <c r="H49" s="34" t="s">
        <v>366</v>
      </c>
      <c r="I49" s="34" t="s">
        <v>367</v>
      </c>
      <c r="J49" s="34" t="s">
        <v>368</v>
      </c>
      <c r="K49" s="34" t="s">
        <v>369</v>
      </c>
      <c r="L49" s="36">
        <v>5</v>
      </c>
      <c r="M49" s="34" t="s">
        <v>370</v>
      </c>
      <c r="N49" s="35"/>
      <c r="O49" s="35"/>
      <c r="P49" s="35" t="s">
        <v>72</v>
      </c>
      <c r="Q49" s="35"/>
      <c r="R49" s="35"/>
    </row>
    <row r="50" spans="1:18" ht="54" customHeight="1">
      <c r="A50" s="33" t="s">
        <v>371</v>
      </c>
      <c r="B50" s="33">
        <v>5</v>
      </c>
      <c r="C50" s="33" t="s">
        <v>322</v>
      </c>
      <c r="D50" s="33" t="s">
        <v>357</v>
      </c>
      <c r="E50" s="33" t="s">
        <v>54</v>
      </c>
      <c r="F50" s="33" t="s">
        <v>113</v>
      </c>
      <c r="G50" s="34" t="s">
        <v>372</v>
      </c>
      <c r="H50" s="34" t="s">
        <v>373</v>
      </c>
      <c r="I50" s="34" t="s">
        <v>374</v>
      </c>
      <c r="J50" s="34" t="s">
        <v>375</v>
      </c>
      <c r="K50" s="34" t="s">
        <v>364</v>
      </c>
      <c r="L50" s="36">
        <v>5</v>
      </c>
      <c r="M50" s="34" t="s">
        <v>376</v>
      </c>
      <c r="N50" s="35"/>
      <c r="O50" s="35"/>
      <c r="P50" s="35" t="s">
        <v>72</v>
      </c>
      <c r="Q50" s="35"/>
      <c r="R50" s="35"/>
    </row>
    <row r="51" spans="1:18" ht="54" customHeight="1">
      <c r="A51" s="33" t="s">
        <v>377</v>
      </c>
      <c r="B51" s="33">
        <v>5</v>
      </c>
      <c r="C51" s="33" t="s">
        <v>322</v>
      </c>
      <c r="D51" s="33" t="s">
        <v>357</v>
      </c>
      <c r="E51" s="33" t="s">
        <v>54</v>
      </c>
      <c r="F51" s="33" t="s">
        <v>113</v>
      </c>
      <c r="G51" s="34" t="s">
        <v>378</v>
      </c>
      <c r="H51" s="34" t="s">
        <v>379</v>
      </c>
      <c r="I51" s="34" t="s">
        <v>380</v>
      </c>
      <c r="J51" s="34" t="s">
        <v>381</v>
      </c>
      <c r="K51" s="34" t="s">
        <v>382</v>
      </c>
      <c r="L51" s="36">
        <v>4</v>
      </c>
      <c r="M51" s="34" t="s">
        <v>383</v>
      </c>
      <c r="N51" s="35"/>
      <c r="O51" s="35"/>
      <c r="P51" s="35" t="s">
        <v>72</v>
      </c>
      <c r="Q51" s="35"/>
      <c r="R51" s="35"/>
    </row>
    <row r="52" spans="1:18" ht="54" customHeight="1">
      <c r="A52" s="33" t="s">
        <v>384</v>
      </c>
      <c r="B52" s="33">
        <v>5</v>
      </c>
      <c r="C52" s="33" t="s">
        <v>322</v>
      </c>
      <c r="D52" s="33" t="s">
        <v>357</v>
      </c>
      <c r="E52" s="33" t="s">
        <v>54</v>
      </c>
      <c r="F52" s="33" t="s">
        <v>113</v>
      </c>
      <c r="G52" s="34" t="s">
        <v>385</v>
      </c>
      <c r="H52" s="34" t="s">
        <v>386</v>
      </c>
      <c r="I52" s="34" t="s">
        <v>387</v>
      </c>
      <c r="J52" s="34" t="s">
        <v>388</v>
      </c>
      <c r="K52" s="34" t="s">
        <v>364</v>
      </c>
      <c r="L52" s="36">
        <v>5</v>
      </c>
      <c r="M52" s="34" t="s">
        <v>389</v>
      </c>
      <c r="N52" s="35"/>
      <c r="O52" s="35"/>
      <c r="P52" s="35" t="s">
        <v>72</v>
      </c>
      <c r="Q52" s="35"/>
      <c r="R52" s="35"/>
    </row>
    <row r="53" spans="1:18" ht="54" customHeight="1">
      <c r="A53" s="33" t="s">
        <v>390</v>
      </c>
      <c r="B53" s="33">
        <v>6</v>
      </c>
      <c r="C53" s="33" t="s">
        <v>391</v>
      </c>
      <c r="D53" s="33" t="s">
        <v>121</v>
      </c>
      <c r="E53" s="33" t="s">
        <v>54</v>
      </c>
      <c r="F53" s="33" t="s">
        <v>55</v>
      </c>
      <c r="G53" s="34" t="s">
        <v>392</v>
      </c>
      <c r="H53" s="34" t="s">
        <v>393</v>
      </c>
      <c r="I53" s="34" t="s">
        <v>394</v>
      </c>
      <c r="J53" s="34" t="s">
        <v>395</v>
      </c>
      <c r="K53" s="34" t="s">
        <v>396</v>
      </c>
      <c r="L53" s="36">
        <v>5</v>
      </c>
      <c r="M53" s="34" t="s">
        <v>397</v>
      </c>
      <c r="N53" s="35"/>
      <c r="O53" s="35"/>
      <c r="P53" s="35" t="s">
        <v>72</v>
      </c>
      <c r="Q53" s="35"/>
      <c r="R53" s="35"/>
    </row>
    <row r="54" spans="1:18" ht="54" customHeight="1">
      <c r="A54" s="33" t="s">
        <v>398</v>
      </c>
      <c r="B54" s="33">
        <v>6</v>
      </c>
      <c r="C54" s="33" t="s">
        <v>391</v>
      </c>
      <c r="D54" s="33" t="s">
        <v>121</v>
      </c>
      <c r="E54" s="33" t="s">
        <v>54</v>
      </c>
      <c r="F54" s="33" t="s">
        <v>55</v>
      </c>
      <c r="G54" s="34" t="s">
        <v>399</v>
      </c>
      <c r="H54" s="34" t="s">
        <v>400</v>
      </c>
      <c r="I54" s="34" t="s">
        <v>401</v>
      </c>
      <c r="J54" s="34" t="s">
        <v>402</v>
      </c>
      <c r="K54" s="34" t="s">
        <v>390</v>
      </c>
      <c r="L54" s="36">
        <v>5</v>
      </c>
      <c r="M54" s="34" t="s">
        <v>403</v>
      </c>
      <c r="N54" s="35"/>
      <c r="O54" s="35"/>
      <c r="P54" s="35" t="s">
        <v>72</v>
      </c>
      <c r="Q54" s="35"/>
      <c r="R54" s="35"/>
    </row>
    <row r="55" spans="1:18" ht="54" customHeight="1">
      <c r="A55" s="33" t="s">
        <v>404</v>
      </c>
      <c r="B55" s="33">
        <v>6</v>
      </c>
      <c r="C55" s="33" t="s">
        <v>391</v>
      </c>
      <c r="D55" s="33" t="s">
        <v>121</v>
      </c>
      <c r="E55" s="33" t="s">
        <v>54</v>
      </c>
      <c r="F55" s="33" t="s">
        <v>55</v>
      </c>
      <c r="G55" s="34" t="s">
        <v>405</v>
      </c>
      <c r="H55" s="34" t="s">
        <v>406</v>
      </c>
      <c r="I55" s="34" t="s">
        <v>407</v>
      </c>
      <c r="J55" s="34" t="s">
        <v>408</v>
      </c>
      <c r="K55" s="34" t="s">
        <v>409</v>
      </c>
      <c r="L55" s="36">
        <v>5</v>
      </c>
      <c r="M55" s="34" t="s">
        <v>410</v>
      </c>
      <c r="N55" s="35"/>
      <c r="O55" s="35"/>
      <c r="P55" s="35" t="s">
        <v>72</v>
      </c>
      <c r="Q55" s="35"/>
      <c r="R55" s="35"/>
    </row>
    <row r="56" spans="1:18" ht="54" customHeight="1">
      <c r="A56" s="33" t="s">
        <v>411</v>
      </c>
      <c r="B56" s="33">
        <v>6</v>
      </c>
      <c r="C56" s="33" t="s">
        <v>391</v>
      </c>
      <c r="D56" s="33" t="s">
        <v>151</v>
      </c>
      <c r="E56" s="33" t="s">
        <v>54</v>
      </c>
      <c r="F56" s="33" t="s">
        <v>55</v>
      </c>
      <c r="G56" s="34" t="s">
        <v>412</v>
      </c>
      <c r="H56" s="34" t="s">
        <v>413</v>
      </c>
      <c r="I56" s="34" t="s">
        <v>414</v>
      </c>
      <c r="J56" s="34" t="s">
        <v>415</v>
      </c>
      <c r="K56" s="34" t="s">
        <v>416</v>
      </c>
      <c r="L56" s="36">
        <v>4</v>
      </c>
      <c r="M56" s="34" t="s">
        <v>417</v>
      </c>
      <c r="N56" s="35"/>
      <c r="O56" s="35"/>
      <c r="P56" s="35" t="s">
        <v>72</v>
      </c>
      <c r="Q56" s="35"/>
      <c r="R56" s="35"/>
    </row>
    <row r="57" spans="1:18" ht="54" customHeight="1">
      <c r="A57" s="33" t="s">
        <v>418</v>
      </c>
      <c r="B57" s="33">
        <v>6</v>
      </c>
      <c r="C57" s="33" t="s">
        <v>391</v>
      </c>
      <c r="D57" s="33" t="s">
        <v>419</v>
      </c>
      <c r="E57" s="33" t="s">
        <v>54</v>
      </c>
      <c r="F57" s="33" t="s">
        <v>113</v>
      </c>
      <c r="G57" s="34" t="s">
        <v>420</v>
      </c>
      <c r="H57" s="34" t="s">
        <v>421</v>
      </c>
      <c r="I57" s="34" t="s">
        <v>422</v>
      </c>
      <c r="J57" s="34" t="s">
        <v>423</v>
      </c>
      <c r="K57" s="34" t="s">
        <v>424</v>
      </c>
      <c r="L57" s="36">
        <v>5</v>
      </c>
      <c r="M57" s="34" t="s">
        <v>425</v>
      </c>
      <c r="N57" s="35"/>
      <c r="O57" s="35"/>
      <c r="P57" s="35" t="s">
        <v>72</v>
      </c>
      <c r="Q57" s="35"/>
      <c r="R57" s="35"/>
    </row>
    <row r="58" spans="1:18" ht="54" customHeight="1">
      <c r="A58" s="33" t="s">
        <v>426</v>
      </c>
      <c r="B58" s="33">
        <v>6</v>
      </c>
      <c r="C58" s="33" t="s">
        <v>391</v>
      </c>
      <c r="D58" s="33" t="s">
        <v>427</v>
      </c>
      <c r="E58" s="33" t="s">
        <v>54</v>
      </c>
      <c r="F58" s="33" t="s">
        <v>113</v>
      </c>
      <c r="G58" s="34" t="s">
        <v>428</v>
      </c>
      <c r="H58" s="34" t="s">
        <v>429</v>
      </c>
      <c r="I58" s="34" t="s">
        <v>430</v>
      </c>
      <c r="J58" s="34" t="s">
        <v>431</v>
      </c>
      <c r="K58" s="34" t="s">
        <v>343</v>
      </c>
      <c r="L58" s="36">
        <v>4</v>
      </c>
      <c r="M58" s="34" t="s">
        <v>432</v>
      </c>
      <c r="N58" s="35"/>
      <c r="O58" s="35"/>
      <c r="P58" s="35" t="s">
        <v>72</v>
      </c>
      <c r="Q58" s="35"/>
      <c r="R58" s="35"/>
    </row>
    <row r="59" spans="1:18" ht="54" customHeight="1">
      <c r="A59" s="33" t="s">
        <v>433</v>
      </c>
      <c r="B59" s="33">
        <v>6</v>
      </c>
      <c r="C59" s="33" t="s">
        <v>391</v>
      </c>
      <c r="D59" s="33" t="s">
        <v>344</v>
      </c>
      <c r="E59" s="33" t="s">
        <v>54</v>
      </c>
      <c r="F59" s="33" t="s">
        <v>113</v>
      </c>
      <c r="G59" s="34" t="s">
        <v>434</v>
      </c>
      <c r="H59" s="34" t="s">
        <v>435</v>
      </c>
      <c r="I59" s="34" t="s">
        <v>436</v>
      </c>
      <c r="J59" s="34" t="s">
        <v>437</v>
      </c>
      <c r="K59" s="34" t="s">
        <v>438</v>
      </c>
      <c r="L59" s="36">
        <v>4</v>
      </c>
      <c r="M59" s="34" t="s">
        <v>439</v>
      </c>
      <c r="N59" s="35"/>
      <c r="O59" s="35"/>
      <c r="P59" s="35" t="s">
        <v>72</v>
      </c>
      <c r="Q59" s="35"/>
      <c r="R59" s="35"/>
    </row>
    <row r="60" spans="1:18" ht="54" customHeight="1">
      <c r="A60" s="33" t="s">
        <v>440</v>
      </c>
      <c r="B60" s="33">
        <v>6</v>
      </c>
      <c r="C60" s="33" t="s">
        <v>391</v>
      </c>
      <c r="D60" s="33" t="s">
        <v>441</v>
      </c>
      <c r="E60" s="33" t="s">
        <v>54</v>
      </c>
      <c r="F60" s="33" t="s">
        <v>55</v>
      </c>
      <c r="G60" s="34" t="s">
        <v>442</v>
      </c>
      <c r="H60" s="34" t="s">
        <v>443</v>
      </c>
      <c r="I60" s="34" t="s">
        <v>444</v>
      </c>
      <c r="J60" s="34" t="s">
        <v>445</v>
      </c>
      <c r="K60" s="34" t="s">
        <v>446</v>
      </c>
      <c r="L60" s="36">
        <v>4</v>
      </c>
      <c r="M60" s="34" t="s">
        <v>447</v>
      </c>
      <c r="N60" s="35"/>
      <c r="O60" s="35"/>
      <c r="P60" s="35" t="s">
        <v>72</v>
      </c>
      <c r="Q60" s="35"/>
      <c r="R60" s="35"/>
    </row>
    <row r="61" spans="1:18" ht="54" customHeight="1">
      <c r="A61" s="33" t="s">
        <v>448</v>
      </c>
      <c r="B61" s="33">
        <v>6</v>
      </c>
      <c r="C61" s="33" t="s">
        <v>391</v>
      </c>
      <c r="D61" s="33" t="s">
        <v>449</v>
      </c>
      <c r="E61" s="33" t="s">
        <v>54</v>
      </c>
      <c r="F61" s="33" t="s">
        <v>55</v>
      </c>
      <c r="G61" s="34" t="s">
        <v>450</v>
      </c>
      <c r="H61" s="34" t="s">
        <v>451</v>
      </c>
      <c r="I61" s="34" t="s">
        <v>452</v>
      </c>
      <c r="J61" s="34" t="s">
        <v>453</v>
      </c>
      <c r="K61" s="34" t="s">
        <v>454</v>
      </c>
      <c r="L61" s="36">
        <v>4</v>
      </c>
      <c r="M61" s="34" t="s">
        <v>455</v>
      </c>
      <c r="N61" s="35"/>
      <c r="O61" s="35"/>
      <c r="P61" s="35" t="s">
        <v>72</v>
      </c>
      <c r="Q61" s="35"/>
      <c r="R61" s="35"/>
    </row>
    <row r="62" spans="1:18" ht="54" customHeight="1">
      <c r="A62" s="33" t="s">
        <v>456</v>
      </c>
      <c r="B62" s="33">
        <v>6</v>
      </c>
      <c r="C62" s="33" t="s">
        <v>391</v>
      </c>
      <c r="D62" s="33" t="s">
        <v>457</v>
      </c>
      <c r="E62" s="33" t="s">
        <v>54</v>
      </c>
      <c r="F62" s="33" t="s">
        <v>55</v>
      </c>
      <c r="G62" s="34" t="s">
        <v>458</v>
      </c>
      <c r="H62" s="34" t="s">
        <v>459</v>
      </c>
      <c r="I62" s="34" t="s">
        <v>460</v>
      </c>
      <c r="J62" s="34" t="s">
        <v>461</v>
      </c>
      <c r="K62" s="34" t="s">
        <v>462</v>
      </c>
      <c r="L62" s="36">
        <v>5</v>
      </c>
      <c r="M62" s="34" t="s">
        <v>463</v>
      </c>
      <c r="N62" s="35"/>
      <c r="O62" s="35"/>
      <c r="P62" s="35" t="s">
        <v>72</v>
      </c>
      <c r="Q62" s="35"/>
      <c r="R62" s="35"/>
    </row>
  </sheetData>
  <conditionalFormatting sqref="E7:E62">
    <cfRule type="containsText" dxfId="7" priority="5" operator="containsText" text="Stretch"/>
  </conditionalFormatting>
  <conditionalFormatting sqref="F7:F62">
    <cfRule type="containsText" dxfId="6" priority="6" operator="containsText" text="P0"/>
    <cfRule type="containsText" dxfId="5" priority="7" operator="containsText" text="P1"/>
  </conditionalFormatting>
  <conditionalFormatting sqref="O7:O62">
    <cfRule type="expression" dxfId="4" priority="8">
      <formula>AND($O7&lt;&gt;"",$O7=$N7)</formula>
    </cfRule>
  </conditionalFormatting>
  <conditionalFormatting sqref="P7:P62">
    <cfRule type="containsText" dxfId="3" priority="1" operator="containsText" text="Done"/>
    <cfRule type="containsText" dxfId="2" priority="2" operator="containsText" text="In Progress"/>
    <cfRule type="containsText" dxfId="1" priority="3" operator="containsText" text="Review"/>
    <cfRule type="containsText" dxfId="0" priority="4" operator="containsText" text="Blocked"/>
  </conditionalFormatting>
  <dataValidations count="1">
    <dataValidation type="list" sqref="P7:P62" xr:uid="{00000000-0002-0000-0100-000002000000}">
      <formula1>"Backlog,Ready,In Progress,Review,Blocked,Done"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100-000000000000}">
          <x14:formula1>
            <xm:f>'Tổng quan'!$B$7:$B$9</xm:f>
          </x14:formula1>
          <xm:sqref>N7:O62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A5A5A5"/>
  </sheetPr>
  <dimension ref="A1:F38"/>
  <sheetViews>
    <sheetView showGridLines="0" workbookViewId="0">
      <pane ySplit="3" topLeftCell="A4" activePane="bottomLeft" state="frozen"/>
      <selection pane="bottomLeft"/>
    </sheetView>
  </sheetViews>
  <sheetFormatPr baseColWidth="10" defaultColWidth="8.83203125" defaultRowHeight="15"/>
  <cols>
    <col min="1" max="1" width="23" customWidth="1"/>
    <col min="2" max="2" width="62" customWidth="1"/>
    <col min="3" max="3" width="4" customWidth="1"/>
    <col min="4" max="4" width="24" customWidth="1"/>
    <col min="5" max="5" width="56" customWidth="1"/>
    <col min="6" max="6" width="4" customWidth="1"/>
  </cols>
  <sheetData>
    <row r="1" spans="1:6">
      <c r="A1" s="28"/>
      <c r="B1" s="28"/>
      <c r="C1" s="28"/>
      <c r="D1" s="28"/>
      <c r="E1" s="28"/>
      <c r="F1" s="28"/>
    </row>
    <row r="2" spans="1:6" ht="20">
      <c r="A2" s="1" t="s">
        <v>464</v>
      </c>
      <c r="B2" s="28"/>
      <c r="C2" s="28"/>
      <c r="D2" s="28"/>
      <c r="E2" s="28"/>
      <c r="F2" s="28"/>
    </row>
    <row r="3" spans="1:6">
      <c r="A3" s="2" t="s">
        <v>465</v>
      </c>
      <c r="B3" s="2"/>
      <c r="C3" s="2"/>
      <c r="D3" s="2"/>
      <c r="E3" s="2"/>
      <c r="F3" s="2"/>
    </row>
    <row r="4" spans="1:6">
      <c r="A4" s="28"/>
      <c r="B4" s="28"/>
      <c r="C4" s="28"/>
      <c r="D4" s="28"/>
      <c r="E4" s="28"/>
      <c r="F4" s="28"/>
    </row>
    <row r="5" spans="1:6">
      <c r="A5" s="9" t="s">
        <v>466</v>
      </c>
      <c r="B5" s="9" t="s">
        <v>467</v>
      </c>
      <c r="C5" s="28"/>
      <c r="D5" s="9" t="s">
        <v>38</v>
      </c>
      <c r="E5" s="9" t="s">
        <v>468</v>
      </c>
      <c r="F5" s="28"/>
    </row>
    <row r="6" spans="1:6" ht="30" customHeight="1">
      <c r="A6" s="37" t="s">
        <v>469</v>
      </c>
      <c r="B6" s="38" t="s">
        <v>470</v>
      </c>
      <c r="C6" s="28"/>
      <c r="D6" s="37" t="s">
        <v>55</v>
      </c>
      <c r="E6" s="38" t="s">
        <v>471</v>
      </c>
      <c r="F6" s="28"/>
    </row>
    <row r="7" spans="1:6" ht="30" customHeight="1">
      <c r="A7" s="39" t="s">
        <v>472</v>
      </c>
      <c r="B7" s="40" t="s">
        <v>473</v>
      </c>
      <c r="C7" s="28"/>
      <c r="D7" s="39" t="s">
        <v>113</v>
      </c>
      <c r="E7" s="40" t="s">
        <v>474</v>
      </c>
      <c r="F7" s="28"/>
    </row>
    <row r="8" spans="1:6" ht="30" customHeight="1">
      <c r="A8" s="39" t="s">
        <v>475</v>
      </c>
      <c r="B8" s="40" t="s">
        <v>476</v>
      </c>
      <c r="C8" s="28"/>
      <c r="D8" s="41" t="s">
        <v>264</v>
      </c>
      <c r="E8" s="42" t="s">
        <v>477</v>
      </c>
      <c r="F8" s="28"/>
    </row>
    <row r="9" spans="1:6" ht="30" customHeight="1">
      <c r="A9" s="39" t="s">
        <v>478</v>
      </c>
      <c r="B9" s="40" t="s">
        <v>479</v>
      </c>
      <c r="C9" s="28"/>
      <c r="D9" s="28"/>
      <c r="E9" s="28"/>
      <c r="F9" s="28"/>
    </row>
    <row r="10" spans="1:6" ht="30" customHeight="1">
      <c r="A10" s="39" t="s">
        <v>480</v>
      </c>
      <c r="B10" s="40" t="s">
        <v>481</v>
      </c>
      <c r="C10" s="28"/>
      <c r="D10" s="9" t="s">
        <v>37</v>
      </c>
      <c r="E10" s="9" t="s">
        <v>468</v>
      </c>
      <c r="F10" s="28"/>
    </row>
    <row r="11" spans="1:6" ht="30" customHeight="1">
      <c r="A11" s="39" t="s">
        <v>482</v>
      </c>
      <c r="B11" s="40" t="s">
        <v>483</v>
      </c>
      <c r="C11" s="28"/>
      <c r="D11" s="37" t="s">
        <v>54</v>
      </c>
      <c r="E11" s="38" t="s">
        <v>484</v>
      </c>
      <c r="F11" s="28"/>
    </row>
    <row r="12" spans="1:6" ht="30" customHeight="1">
      <c r="A12" s="41" t="s">
        <v>485</v>
      </c>
      <c r="B12" s="42" t="s">
        <v>486</v>
      </c>
      <c r="C12" s="28"/>
      <c r="D12" s="41" t="s">
        <v>263</v>
      </c>
      <c r="E12" s="42" t="s">
        <v>487</v>
      </c>
      <c r="F12" s="28"/>
    </row>
    <row r="13" spans="1:6" ht="30" customHeight="1">
      <c r="A13" s="28"/>
      <c r="B13" s="28"/>
      <c r="C13" s="28"/>
      <c r="D13" s="28"/>
      <c r="E13" s="28"/>
      <c r="F13" s="28"/>
    </row>
    <row r="14" spans="1:6" ht="30" customHeight="1">
      <c r="A14" s="28"/>
      <c r="B14" s="28"/>
      <c r="C14" s="28"/>
      <c r="D14" s="28"/>
      <c r="E14" s="28"/>
      <c r="F14" s="28"/>
    </row>
    <row r="15" spans="1:6" ht="30" customHeight="1">
      <c r="A15" s="9" t="s">
        <v>48</v>
      </c>
      <c r="B15" s="9" t="s">
        <v>488</v>
      </c>
      <c r="C15" s="28"/>
      <c r="D15" s="9" t="s">
        <v>489</v>
      </c>
      <c r="E15" s="9" t="s">
        <v>490</v>
      </c>
      <c r="F15" s="28"/>
    </row>
    <row r="16" spans="1:6" ht="30" customHeight="1">
      <c r="A16" s="37" t="s">
        <v>72</v>
      </c>
      <c r="B16" s="38" t="s">
        <v>491</v>
      </c>
      <c r="C16" s="28"/>
      <c r="D16" s="37" t="s">
        <v>41</v>
      </c>
      <c r="E16" s="38" t="s">
        <v>492</v>
      </c>
      <c r="F16" s="28"/>
    </row>
    <row r="17" spans="1:6" ht="30" customHeight="1">
      <c r="A17" s="39" t="s">
        <v>493</v>
      </c>
      <c r="B17" s="40" t="s">
        <v>494</v>
      </c>
      <c r="C17" s="28"/>
      <c r="D17" s="39" t="s">
        <v>495</v>
      </c>
      <c r="E17" s="40" t="s">
        <v>496</v>
      </c>
      <c r="F17" s="28"/>
    </row>
    <row r="18" spans="1:6" ht="30" customHeight="1">
      <c r="A18" s="39" t="s">
        <v>62</v>
      </c>
      <c r="B18" s="40" t="s">
        <v>497</v>
      </c>
      <c r="C18" s="28"/>
      <c r="D18" s="39" t="s">
        <v>498</v>
      </c>
      <c r="E18" s="40" t="s">
        <v>499</v>
      </c>
      <c r="F18" s="28"/>
    </row>
    <row r="19" spans="1:6" ht="30" customHeight="1">
      <c r="A19" s="39" t="s">
        <v>500</v>
      </c>
      <c r="B19" s="40" t="s">
        <v>501</v>
      </c>
      <c r="C19" s="28"/>
      <c r="D19" s="39" t="s">
        <v>500</v>
      </c>
      <c r="E19" s="40" t="s">
        <v>502</v>
      </c>
      <c r="F19" s="28"/>
    </row>
    <row r="20" spans="1:6" ht="30" customHeight="1">
      <c r="A20" s="39" t="s">
        <v>503</v>
      </c>
      <c r="B20" s="40" t="s">
        <v>504</v>
      </c>
      <c r="C20" s="28"/>
      <c r="D20" s="39" t="s">
        <v>427</v>
      </c>
      <c r="E20" s="40" t="s">
        <v>505</v>
      </c>
      <c r="F20" s="28"/>
    </row>
    <row r="21" spans="1:6" ht="30" customHeight="1">
      <c r="A21" s="41" t="s">
        <v>506</v>
      </c>
      <c r="B21" s="42" t="s">
        <v>507</v>
      </c>
      <c r="C21" s="28"/>
      <c r="D21" s="41" t="s">
        <v>441</v>
      </c>
      <c r="E21" s="42" t="s">
        <v>508</v>
      </c>
      <c r="F21" s="28"/>
    </row>
    <row r="22" spans="1:6" ht="30" customHeight="1">
      <c r="A22" s="28"/>
      <c r="B22" s="28"/>
      <c r="C22" s="28"/>
      <c r="D22" s="28"/>
      <c r="E22" s="28"/>
      <c r="F22" s="28"/>
    </row>
    <row r="23" spans="1:6" ht="30" customHeight="1">
      <c r="A23" s="28"/>
      <c r="B23" s="28"/>
      <c r="C23" s="28"/>
      <c r="D23" s="28"/>
      <c r="E23" s="28"/>
      <c r="F23" s="28"/>
    </row>
    <row r="24" spans="1:6" ht="28" customHeight="1">
      <c r="A24" s="9" t="s">
        <v>23</v>
      </c>
      <c r="B24" s="9" t="s">
        <v>18</v>
      </c>
      <c r="C24" s="28"/>
      <c r="D24" s="9" t="s">
        <v>509</v>
      </c>
      <c r="E24" s="9" t="s">
        <v>510</v>
      </c>
      <c r="F24" s="28"/>
    </row>
    <row r="25" spans="1:6" ht="36" customHeight="1">
      <c r="A25" s="37">
        <v>1</v>
      </c>
      <c r="B25" s="38" t="s">
        <v>26</v>
      </c>
      <c r="C25" s="28"/>
      <c r="D25" s="43">
        <v>45</v>
      </c>
      <c r="E25" s="38" t="s">
        <v>511</v>
      </c>
      <c r="F25" s="28"/>
    </row>
    <row r="26" spans="1:6" ht="36" customHeight="1">
      <c r="A26" s="39">
        <v>2</v>
      </c>
      <c r="B26" s="40" t="s">
        <v>512</v>
      </c>
      <c r="C26" s="28"/>
      <c r="D26" s="44">
        <v>45</v>
      </c>
      <c r="E26" s="40" t="s">
        <v>513</v>
      </c>
      <c r="F26" s="28"/>
    </row>
    <row r="27" spans="1:6" ht="36" customHeight="1">
      <c r="A27" s="39">
        <v>3</v>
      </c>
      <c r="B27" s="40" t="s">
        <v>514</v>
      </c>
      <c r="C27" s="28"/>
      <c r="D27" s="44">
        <v>45</v>
      </c>
      <c r="E27" s="40" t="s">
        <v>515</v>
      </c>
      <c r="F27" s="28"/>
    </row>
    <row r="28" spans="1:6" ht="36" customHeight="1">
      <c r="A28" s="39">
        <v>4</v>
      </c>
      <c r="B28" s="40" t="s">
        <v>516</v>
      </c>
      <c r="C28" s="28"/>
      <c r="D28" s="44">
        <v>45</v>
      </c>
      <c r="E28" s="40" t="s">
        <v>517</v>
      </c>
      <c r="F28" s="28"/>
    </row>
    <row r="29" spans="1:6" ht="36" customHeight="1">
      <c r="A29" s="39">
        <v>5</v>
      </c>
      <c r="B29" s="40" t="s">
        <v>518</v>
      </c>
      <c r="C29" s="28"/>
      <c r="D29" s="44">
        <v>45</v>
      </c>
      <c r="E29" s="40" t="s">
        <v>519</v>
      </c>
      <c r="F29" s="28"/>
    </row>
    <row r="30" spans="1:6" ht="36" customHeight="1">
      <c r="A30" s="41">
        <v>6</v>
      </c>
      <c r="B30" s="42" t="s">
        <v>31</v>
      </c>
      <c r="C30" s="28"/>
      <c r="D30" s="45">
        <v>45</v>
      </c>
      <c r="E30" s="42" t="s">
        <v>520</v>
      </c>
      <c r="F30" s="28"/>
    </row>
    <row r="31" spans="1:6" ht="30" customHeight="1">
      <c r="A31" s="28"/>
      <c r="B31" s="28"/>
      <c r="C31" s="28"/>
      <c r="D31" s="28"/>
      <c r="E31" s="28"/>
      <c r="F31" s="28"/>
    </row>
    <row r="32" spans="1:6" ht="30" customHeight="1">
      <c r="A32" s="28"/>
      <c r="B32" s="28"/>
      <c r="C32" s="28"/>
      <c r="D32" s="28"/>
      <c r="E32" s="28"/>
      <c r="F32" s="28"/>
    </row>
    <row r="33" spans="1:6" ht="30" customHeight="1">
      <c r="A33" s="9" t="s">
        <v>521</v>
      </c>
      <c r="B33" s="9" t="s">
        <v>522</v>
      </c>
      <c r="C33" s="28"/>
      <c r="D33" s="28"/>
      <c r="E33" s="28"/>
      <c r="F33" s="28"/>
    </row>
    <row r="34" spans="1:6" ht="30" customHeight="1">
      <c r="A34" s="37" t="s">
        <v>523</v>
      </c>
      <c r="B34" s="38" t="s">
        <v>524</v>
      </c>
      <c r="C34" s="28"/>
      <c r="D34" s="28"/>
      <c r="E34" s="28"/>
      <c r="F34" s="28"/>
    </row>
    <row r="35" spans="1:6" ht="30" customHeight="1">
      <c r="A35" s="39" t="s">
        <v>525</v>
      </c>
      <c r="B35" s="40" t="s">
        <v>526</v>
      </c>
      <c r="C35" s="28"/>
      <c r="D35" s="28"/>
      <c r="E35" s="28"/>
      <c r="F35" s="28"/>
    </row>
    <row r="36" spans="1:6" ht="30" customHeight="1">
      <c r="A36" s="39" t="s">
        <v>527</v>
      </c>
      <c r="B36" s="40" t="s">
        <v>528</v>
      </c>
      <c r="C36" s="28"/>
      <c r="D36" s="28"/>
      <c r="E36" s="28"/>
      <c r="F36" s="28"/>
    </row>
    <row r="37" spans="1:6" ht="30" customHeight="1">
      <c r="A37" s="39" t="s">
        <v>529</v>
      </c>
      <c r="B37" s="40" t="s">
        <v>530</v>
      </c>
      <c r="C37" s="28"/>
      <c r="D37" s="28"/>
      <c r="E37" s="28"/>
      <c r="F37" s="28"/>
    </row>
    <row r="38" spans="1:6" ht="30" customHeight="1">
      <c r="A38" s="41" t="s">
        <v>531</v>
      </c>
      <c r="B38" s="42" t="s">
        <v>532</v>
      </c>
      <c r="C38" s="28"/>
      <c r="D38" s="28"/>
      <c r="E38" s="28"/>
      <c r="F38" s="2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Tổng quan</vt:lpstr>
      <vt:lpstr>Backlog</vt:lpstr>
      <vt:lpstr>Hướng dẫn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Trần Minh Hoài Tâm</cp:lastModifiedBy>
  <dcterms:modified xsi:type="dcterms:W3CDTF">2026-09-16T05:18:44Z</dcterms:modified>
</cp:coreProperties>
</file>